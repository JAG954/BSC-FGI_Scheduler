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g144f\Documents\Chicken Tracks Stuff\"/>
    </mc:Choice>
  </mc:AlternateContent>
  <xr:revisionPtr revIDLastSave="0" documentId="13_ncr:1_{54703C67-4EDF-47B0-BD52-6C23C935651F}" xr6:coauthVersionLast="47" xr6:coauthVersionMax="47" xr10:uidLastSave="{00000000-0000-0000-0000-000000000000}"/>
  <bookViews>
    <workbookView xWindow="-120" yWindow="-120" windowWidth="29040" windowHeight="15720" xr2:uid="{E2443C39-7F85-4651-8459-6D0193A5E238}"/>
  </bookViews>
  <sheets>
    <sheet name="Move Times" sheetId="2" r:id="rId1"/>
    <sheet name="Centerlin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2" l="1"/>
  <c r="F110" i="2"/>
  <c r="F111" i="2"/>
  <c r="F21" i="2" l="1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B25" i="2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8" i="2"/>
  <c r="B9" i="2"/>
  <c r="B10" i="2" s="1"/>
  <c r="B11" i="2" s="1"/>
  <c r="B12" i="2" s="1"/>
  <c r="B13" i="2" s="1"/>
  <c r="B14" i="2" s="1"/>
  <c r="B15" i="2"/>
  <c r="B16" i="2"/>
  <c r="B17" i="2"/>
  <c r="B18" i="2" s="1"/>
  <c r="B19" i="2" s="1"/>
  <c r="B20" i="2" s="1"/>
  <c r="B21" i="2" s="1"/>
  <c r="B22" i="2" s="1"/>
  <c r="B23" i="2" s="1"/>
  <c r="B24" i="2" s="1"/>
  <c r="B2" i="2"/>
  <c r="B3" i="2" s="1"/>
  <c r="B4" i="2" s="1"/>
  <c r="B5" i="2" s="1"/>
  <c r="B6" i="2" s="1"/>
  <c r="B7" i="2" s="1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D16" i="2"/>
  <c r="H16" i="2"/>
  <c r="D15" i="2"/>
  <c r="H15" i="2"/>
  <c r="D14" i="2"/>
  <c r="H14" i="2"/>
  <c r="D13" i="2"/>
  <c r="H13" i="2"/>
  <c r="D12" i="2"/>
  <c r="H12" i="2"/>
  <c r="D11" i="2"/>
  <c r="H11" i="2"/>
  <c r="D10" i="2"/>
  <c r="H10" i="2"/>
  <c r="D9" i="2"/>
  <c r="H9" i="2"/>
  <c r="D8" i="2"/>
  <c r="H8" i="2"/>
  <c r="H3" i="2"/>
  <c r="H4" i="2"/>
  <c r="H5" i="2"/>
  <c r="H6" i="2"/>
  <c r="H7" i="2"/>
  <c r="H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<sst xmlns="http://schemas.openxmlformats.org/spreadsheetml/2006/main" count="582" uniqueCount="59">
  <si>
    <t>Position</t>
  </si>
  <si>
    <t>Centerlines Required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</si>
  <si>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</si>
  <si>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</si>
  <si>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</si>
  <si>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</si>
  <si>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</si>
  <si>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</si>
  <si>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</si>
  <si>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</si>
  <si>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</si>
  <si>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</si>
  <si>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</si>
  <si>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</si>
  <si>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</si>
  <si>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</si>
  <si>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</si>
  <si>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C3.5</t>
  </si>
  <si>
    <t>BSC1</t>
  </si>
  <si>
    <t>BSC2</t>
  </si>
  <si>
    <t>D1</t>
  </si>
  <si>
    <t>D2</t>
  </si>
  <si>
    <t>F1</t>
  </si>
  <si>
    <t>F2</t>
  </si>
  <si>
    <t>L4</t>
  </si>
  <si>
    <t>L5</t>
  </si>
  <si>
    <t>CR1</t>
  </si>
  <si>
    <t>CR2</t>
  </si>
  <si>
    <t>CR3</t>
  </si>
  <si>
    <t>T1</t>
  </si>
  <si>
    <t>T2</t>
  </si>
  <si>
    <t>T3</t>
  </si>
  <si>
    <t>T4</t>
  </si>
  <si>
    <t>Spur</t>
  </si>
  <si>
    <t>N/A</t>
  </si>
  <si>
    <t>C1,C2</t>
  </si>
  <si>
    <t>C1,C2,C3,C3.5,C4,C5</t>
  </si>
  <si>
    <t>C1,C2,C3,C3.5,C4</t>
  </si>
  <si>
    <t>C1,C2,C3,C3.5</t>
  </si>
  <si>
    <t>C1,C2,C3</t>
  </si>
  <si>
    <t>CR3,CR2</t>
  </si>
  <si>
    <t>Date</t>
  </si>
  <si>
    <t>AP</t>
  </si>
  <si>
    <t>Starting Position</t>
  </si>
  <si>
    <t>Ending Position</t>
  </si>
  <si>
    <t>Centerline</t>
  </si>
  <si>
    <t>Move Time</t>
  </si>
  <si>
    <t>Y</t>
  </si>
  <si>
    <t>H/O</t>
  </si>
  <si>
    <t>RFO</t>
  </si>
  <si>
    <t>P3</t>
  </si>
  <si>
    <t>Down Time</t>
  </si>
  <si>
    <t>L3</t>
  </si>
  <si>
    <t>SPUR</t>
  </si>
  <si>
    <t>S2</t>
  </si>
  <si>
    <t>S3</t>
  </si>
  <si>
    <t>S1</t>
  </si>
  <si>
    <t>FACTORY</t>
  </si>
  <si>
    <t>C3/5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</si>
</sst>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20" fontId="0" fillId="0" borderId="0" xfId="0" applyNumberFormat="1"/>
    <xf numFmtId="43" fontId="0" fillId="0" borderId="0" xfId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6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b/>
        <i/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F266-F66E-4D08-8702-AB3AA4AE77A8}">
  <sheetPr codeName="Sheet1"/>
  <dimension ref="A1:N199"/>
  <sheetViews>
    <sheetView tabSelected="1" zoomScaleNormal="100" workbookViewId="0">
      <selection activeCell="Q18" sqref="Q18"/>
    </sheetView>
  </sheetViews>
  <sheetFormatPr defaultRowHeight="15" x14ac:dyDescent="0.25"/>
  <cols>
    <col min="1" max="1" width="10.42578125" style="4" bestFit="1" customWidth="1"/>
    <col min="2" max="2" width="9.140625" style="3"/>
    <col min="3" max="3" width="16.28515625" style="2" customWidth="1"/>
    <col min="4" max="4" width="11.5703125" style="6" customWidth="1"/>
    <col min="5" max="5" width="13.28515625" style="2" customWidth="1"/>
    <col min="6" max="6" width="11.5703125" style="6" customWidth="1"/>
    <col min="7" max="7" width="16.28515625" style="2" customWidth="1"/>
    <col min="8" max="8" width="11.5703125" style="6" customWidth="1"/>
    <col min="10" max="10" width="9.140625" style="5"/>
    <col min="12" max="13" width="9.140625" style="5"/>
    <col min="14" max="14" width="0" hidden="1" customWidth="1"/>
  </cols>
  <sheetData>
    <row r="1" spans="1:14" s="2" customFormat="1" x14ac:dyDescent="0.25">
      <c r="A1" s="7" t="s">
        <v>41</v>
      </c>
      <c r="B1" s="8" t="s">
        <v>42</v>
      </c>
      <c r="C1" s="8" t="s">
        <v>43</v>
      </c>
      <c r="D1" s="9" t="s">
        <v>46</v>
      </c>
      <c r="E1" s="8" t="s">
        <v>45</v>
      </c>
      <c r="F1" s="9" t="s">
        <v>51</v>
      </c>
      <c r="G1" s="8" t="s">
        <v>44</v>
      </c>
      <c r="H1" s="9" t="s">
        <v>46</v>
      </c>
      <c r="J1" s="2" t="s">
        <v>48</v>
      </c>
      <c r="K1" s="2" t="s">
        <v>49</v>
      </c>
      <c r="L1" s="2" t="s">
        <v>48</v>
      </c>
      <c r="M1" s="2" t="s">
        <v>49</v>
      </c>
    </row>
    <row r="2" spans="1:14" x14ac:dyDescent="0.25">
      <c r="A2" s="7">
        <v>45542</v>
      </c>
      <c r="B2" s="10">
        <f>IF(A2&lt;&gt;A1,1,B1+1)</f>
        <v>1</v>
      </c>
      <c r="C2" s="8" t="s">
        <v>13</v>
      </c>
      <c r="D2" s="11">
        <f t="shared" ref="D2:D33" si="0">IF(K2=0,M2-J2,K2-J2)*24</f>
        <v>3.666666666666667</v>
      </c>
      <c r="E2" s="8" t="s">
        <v>47</v>
      </c>
      <c r="F2" s="11" t="str">
        <f t="shared" ref="F2:F65" si="1">IF(K2&lt;&gt;"",IF(K2&gt;L2,(N2-K2+L2)*24,(L2-K2)*24),IF(E2="Y","NA",""))</f>
        <v>NA</v>
      </c>
      <c r="G2" s="8" t="s">
        <v>13</v>
      </c>
      <c r="H2" s="11" t="str">
        <f t="shared" ref="H2:H65" si="2">IF(K2&lt;&gt;0,(M2-L2)*24,"")</f>
        <v/>
      </c>
      <c r="J2" s="5">
        <v>0.75</v>
      </c>
      <c r="M2" s="5">
        <v>0.90277777777777779</v>
      </c>
      <c r="N2" s="13">
        <v>1</v>
      </c>
    </row>
    <row r="3" spans="1:14" x14ac:dyDescent="0.25">
      <c r="A3" s="7">
        <v>45542</v>
      </c>
      <c r="B3" s="10">
        <f t="shared" ref="B3:B66" si="3">IF(A3&lt;&gt;A2,1,B2+1)</f>
        <v>2</v>
      </c>
      <c r="C3" s="8" t="s">
        <v>14</v>
      </c>
      <c r="D3" s="11">
        <f t="shared" si="0"/>
        <v>3.083333333333333</v>
      </c>
      <c r="E3" s="8" t="s">
        <v>47</v>
      </c>
      <c r="F3" s="11" t="str">
        <f t="shared" si="1"/>
        <v>NA</v>
      </c>
      <c r="G3" s="8" t="s">
        <v>14</v>
      </c>
      <c r="H3" s="11" t="str">
        <f t="shared" si="2"/>
        <v/>
      </c>
      <c r="J3" s="5">
        <v>0.76041666666666663</v>
      </c>
      <c r="M3" s="5">
        <v>0.88888888888888884</v>
      </c>
      <c r="N3" s="13">
        <v>1</v>
      </c>
    </row>
    <row r="4" spans="1:14" x14ac:dyDescent="0.25">
      <c r="A4" s="7">
        <v>45542</v>
      </c>
      <c r="B4" s="10">
        <f t="shared" si="3"/>
        <v>3</v>
      </c>
      <c r="C4" s="8" t="s">
        <v>15</v>
      </c>
      <c r="D4" s="11">
        <f t="shared" si="0"/>
        <v>3.083333333333333</v>
      </c>
      <c r="E4" s="8" t="s">
        <v>47</v>
      </c>
      <c r="F4" s="11" t="str">
        <f t="shared" si="1"/>
        <v>NA</v>
      </c>
      <c r="G4" s="8" t="s">
        <v>15</v>
      </c>
      <c r="H4" s="11" t="str">
        <f t="shared" si="2"/>
        <v/>
      </c>
      <c r="J4" s="5">
        <v>0.77083333333333337</v>
      </c>
      <c r="M4" s="5">
        <v>0.89930555555555558</v>
      </c>
      <c r="N4" s="13">
        <v>1</v>
      </c>
    </row>
    <row r="5" spans="1:14" x14ac:dyDescent="0.25">
      <c r="A5" s="7">
        <v>45542</v>
      </c>
      <c r="B5" s="10">
        <f t="shared" si="3"/>
        <v>4</v>
      </c>
      <c r="C5" s="8" t="s">
        <v>10</v>
      </c>
      <c r="D5" s="11">
        <f t="shared" si="0"/>
        <v>0.16666666666666607</v>
      </c>
      <c r="E5" s="8"/>
      <c r="F5" s="11" t="str">
        <f t="shared" si="1"/>
        <v/>
      </c>
      <c r="G5" s="8" t="s">
        <v>18</v>
      </c>
      <c r="H5" s="11" t="str">
        <f t="shared" si="2"/>
        <v/>
      </c>
      <c r="J5" s="5">
        <v>0.85069444444444442</v>
      </c>
      <c r="M5" s="5">
        <v>0.85763888888888884</v>
      </c>
      <c r="N5" s="13">
        <v>1</v>
      </c>
    </row>
    <row r="6" spans="1:14" x14ac:dyDescent="0.25">
      <c r="A6" s="7">
        <v>45542</v>
      </c>
      <c r="B6" s="10">
        <f t="shared" si="3"/>
        <v>5</v>
      </c>
      <c r="C6" s="8" t="s">
        <v>16</v>
      </c>
      <c r="D6" s="11">
        <f t="shared" si="0"/>
        <v>0.8333333333333357</v>
      </c>
      <c r="E6" s="8" t="s">
        <v>47</v>
      </c>
      <c r="F6" s="11" t="str">
        <f t="shared" si="1"/>
        <v>NA</v>
      </c>
      <c r="G6" s="8" t="s">
        <v>19</v>
      </c>
      <c r="H6" s="11" t="str">
        <f t="shared" si="2"/>
        <v/>
      </c>
      <c r="J6" s="5">
        <v>0.79513888888888884</v>
      </c>
      <c r="M6" s="5">
        <v>0.82986111111111116</v>
      </c>
      <c r="N6" s="13">
        <v>1</v>
      </c>
    </row>
    <row r="7" spans="1:14" x14ac:dyDescent="0.25">
      <c r="A7" s="7">
        <v>45542</v>
      </c>
      <c r="B7" s="10">
        <f t="shared" si="3"/>
        <v>6</v>
      </c>
      <c r="C7" s="8" t="s">
        <v>19</v>
      </c>
      <c r="D7" s="11">
        <f t="shared" si="0"/>
        <v>0.83333333333333304</v>
      </c>
      <c r="E7" s="8" t="s">
        <v>47</v>
      </c>
      <c r="F7" s="11" t="str">
        <f t="shared" si="1"/>
        <v>NA</v>
      </c>
      <c r="G7" s="8" t="s">
        <v>16</v>
      </c>
      <c r="H7" s="11" t="str">
        <f t="shared" si="2"/>
        <v/>
      </c>
      <c r="J7" s="5">
        <v>0.80902777777777779</v>
      </c>
      <c r="M7" s="5">
        <v>0.84375</v>
      </c>
      <c r="N7" s="13">
        <v>1</v>
      </c>
    </row>
    <row r="8" spans="1:14" x14ac:dyDescent="0.25">
      <c r="A8" s="7">
        <v>45543</v>
      </c>
      <c r="B8" s="10">
        <f t="shared" si="3"/>
        <v>1</v>
      </c>
      <c r="C8" s="8" t="s">
        <v>13</v>
      </c>
      <c r="D8" s="11">
        <f t="shared" si="0"/>
        <v>0.16666666666666874</v>
      </c>
      <c r="E8" s="8" t="s">
        <v>47</v>
      </c>
      <c r="F8" s="11" t="str">
        <f t="shared" si="1"/>
        <v>NA</v>
      </c>
      <c r="G8" s="12" t="s">
        <v>45</v>
      </c>
      <c r="H8" s="11" t="str">
        <f t="shared" si="2"/>
        <v/>
      </c>
      <c r="J8" s="5">
        <v>0.60416666666666663</v>
      </c>
      <c r="M8" s="5">
        <v>0.61111111111111116</v>
      </c>
      <c r="N8" s="13">
        <v>1</v>
      </c>
    </row>
    <row r="9" spans="1:14" x14ac:dyDescent="0.25">
      <c r="A9" s="7">
        <v>45543</v>
      </c>
      <c r="B9" s="10">
        <f t="shared" si="3"/>
        <v>2</v>
      </c>
      <c r="C9" s="8" t="s">
        <v>14</v>
      </c>
      <c r="D9" s="11">
        <f t="shared" si="0"/>
        <v>8.25</v>
      </c>
      <c r="E9" s="8" t="s">
        <v>47</v>
      </c>
      <c r="F9" s="11" t="str">
        <f t="shared" si="1"/>
        <v>NA</v>
      </c>
      <c r="G9" s="8" t="s">
        <v>14</v>
      </c>
      <c r="H9" s="11" t="str">
        <f t="shared" si="2"/>
        <v/>
      </c>
      <c r="J9" s="5">
        <v>0.61458333333333337</v>
      </c>
      <c r="M9" s="5">
        <v>0.95833333333333337</v>
      </c>
      <c r="N9" s="13">
        <v>1</v>
      </c>
    </row>
    <row r="10" spans="1:14" x14ac:dyDescent="0.25">
      <c r="A10" s="7">
        <v>45543</v>
      </c>
      <c r="B10" s="10">
        <f t="shared" si="3"/>
        <v>3</v>
      </c>
      <c r="C10" s="8" t="s">
        <v>15</v>
      </c>
      <c r="D10" s="11">
        <f t="shared" si="0"/>
        <v>7.583333333333333</v>
      </c>
      <c r="E10" s="8" t="s">
        <v>47</v>
      </c>
      <c r="F10" s="11" t="str">
        <f t="shared" si="1"/>
        <v>NA</v>
      </c>
      <c r="G10" s="8" t="s">
        <v>15</v>
      </c>
      <c r="H10" s="11" t="str">
        <f t="shared" si="2"/>
        <v/>
      </c>
      <c r="J10" s="5">
        <v>0.625</v>
      </c>
      <c r="M10" s="5">
        <v>0.94097222222222221</v>
      </c>
      <c r="N10" s="13">
        <v>1</v>
      </c>
    </row>
    <row r="11" spans="1:14" x14ac:dyDescent="0.25">
      <c r="A11" s="7">
        <v>45543</v>
      </c>
      <c r="B11" s="10">
        <f t="shared" si="3"/>
        <v>4</v>
      </c>
      <c r="C11" s="8" t="s">
        <v>18</v>
      </c>
      <c r="D11" s="11">
        <f t="shared" si="0"/>
        <v>0.16666666666666607</v>
      </c>
      <c r="E11" s="8"/>
      <c r="F11" s="11" t="str">
        <f t="shared" si="1"/>
        <v/>
      </c>
      <c r="G11" s="8" t="s">
        <v>10</v>
      </c>
      <c r="H11" s="11" t="str">
        <f t="shared" si="2"/>
        <v/>
      </c>
      <c r="J11" s="5">
        <v>0.90972222222222221</v>
      </c>
      <c r="M11" s="5">
        <v>0.91666666666666663</v>
      </c>
      <c r="N11" s="13">
        <v>1</v>
      </c>
    </row>
    <row r="12" spans="1:14" x14ac:dyDescent="0.25">
      <c r="A12" s="7">
        <v>45543</v>
      </c>
      <c r="B12" s="10">
        <f t="shared" si="3"/>
        <v>5</v>
      </c>
      <c r="C12" s="8" t="s">
        <v>24</v>
      </c>
      <c r="D12" s="11">
        <f t="shared" si="0"/>
        <v>2.0833333333333339</v>
      </c>
      <c r="E12" s="8" t="s">
        <v>47</v>
      </c>
      <c r="F12" s="11" t="str">
        <f t="shared" si="1"/>
        <v>NA</v>
      </c>
      <c r="G12" s="8" t="s">
        <v>25</v>
      </c>
      <c r="H12" s="11" t="str">
        <f t="shared" si="2"/>
        <v/>
      </c>
      <c r="J12" s="5">
        <v>0.56597222222222221</v>
      </c>
      <c r="M12" s="5">
        <v>0.65277777777777779</v>
      </c>
      <c r="N12" s="13">
        <v>1</v>
      </c>
    </row>
    <row r="13" spans="1:14" x14ac:dyDescent="0.25">
      <c r="A13" s="7">
        <v>45543</v>
      </c>
      <c r="B13" s="10">
        <f t="shared" si="3"/>
        <v>6</v>
      </c>
      <c r="C13" s="8" t="s">
        <v>25</v>
      </c>
      <c r="D13" s="11">
        <f t="shared" si="0"/>
        <v>1.5</v>
      </c>
      <c r="E13" s="8" t="s">
        <v>47</v>
      </c>
      <c r="F13" s="11" t="str">
        <f t="shared" si="1"/>
        <v>NA</v>
      </c>
      <c r="G13" s="8" t="s">
        <v>18</v>
      </c>
      <c r="H13" s="11" t="str">
        <f t="shared" si="2"/>
        <v/>
      </c>
      <c r="J13" s="5">
        <v>0.57638888888888884</v>
      </c>
      <c r="M13" s="5">
        <v>0.63888888888888884</v>
      </c>
      <c r="N13" s="13">
        <v>1</v>
      </c>
    </row>
    <row r="14" spans="1:14" x14ac:dyDescent="0.25">
      <c r="A14" s="7">
        <v>45543</v>
      </c>
      <c r="B14" s="10">
        <f t="shared" si="3"/>
        <v>7</v>
      </c>
      <c r="C14" s="8" t="s">
        <v>50</v>
      </c>
      <c r="D14" s="11">
        <f t="shared" si="0"/>
        <v>0.33333333333333481</v>
      </c>
      <c r="E14" s="8"/>
      <c r="F14" s="11" t="str">
        <f t="shared" si="1"/>
        <v/>
      </c>
      <c r="G14" s="8" t="s">
        <v>2</v>
      </c>
      <c r="H14" s="11" t="str">
        <f t="shared" si="2"/>
        <v/>
      </c>
      <c r="J14" s="5">
        <v>0.54166666666666663</v>
      </c>
      <c r="M14" s="5">
        <v>0.55555555555555558</v>
      </c>
      <c r="N14" s="13">
        <v>1</v>
      </c>
    </row>
    <row r="15" spans="1:14" x14ac:dyDescent="0.25">
      <c r="A15" s="7">
        <v>45544</v>
      </c>
      <c r="B15" s="10">
        <f t="shared" si="3"/>
        <v>1</v>
      </c>
      <c r="C15" s="8" t="s">
        <v>13</v>
      </c>
      <c r="D15" s="11">
        <f t="shared" si="0"/>
        <v>0.24999999999999911</v>
      </c>
      <c r="E15" s="8"/>
      <c r="F15" s="11" t="str">
        <f t="shared" si="1"/>
        <v/>
      </c>
      <c r="G15" s="8" t="s">
        <v>24</v>
      </c>
      <c r="H15" s="11" t="str">
        <f t="shared" si="2"/>
        <v/>
      </c>
      <c r="J15" s="5">
        <v>0.65277777777777779</v>
      </c>
      <c r="M15" s="5">
        <v>0.66319444444444442</v>
      </c>
      <c r="N15" s="13">
        <v>1</v>
      </c>
    </row>
    <row r="16" spans="1:14" x14ac:dyDescent="0.25">
      <c r="A16" s="7">
        <v>45544</v>
      </c>
      <c r="B16" s="10">
        <f t="shared" si="3"/>
        <v>2</v>
      </c>
      <c r="C16" s="8" t="s">
        <v>21</v>
      </c>
      <c r="D16" s="11">
        <f t="shared" si="0"/>
        <v>0.24999999999999911</v>
      </c>
      <c r="E16" s="8"/>
      <c r="F16" s="11" t="str">
        <f t="shared" si="1"/>
        <v/>
      </c>
      <c r="G16" s="8" t="s">
        <v>13</v>
      </c>
      <c r="H16" s="11" t="str">
        <f t="shared" si="2"/>
        <v/>
      </c>
      <c r="J16" s="5">
        <v>0.68055555555555558</v>
      </c>
      <c r="M16" s="5">
        <v>0.69097222222222221</v>
      </c>
      <c r="N16" s="13">
        <v>1</v>
      </c>
    </row>
    <row r="17" spans="1:14" x14ac:dyDescent="0.25">
      <c r="A17" s="7">
        <v>45545</v>
      </c>
      <c r="B17" s="10">
        <f t="shared" si="3"/>
        <v>1</v>
      </c>
      <c r="C17" s="8" t="s">
        <v>24</v>
      </c>
      <c r="D17" s="11">
        <f t="shared" si="0"/>
        <v>0.58333333333333393</v>
      </c>
      <c r="E17" s="8" t="s">
        <v>47</v>
      </c>
      <c r="F17" s="11">
        <f t="shared" si="1"/>
        <v>3.9999999999999991</v>
      </c>
      <c r="G17" s="8" t="s">
        <v>19</v>
      </c>
      <c r="H17" s="11">
        <f t="shared" si="2"/>
        <v>0.25000000000000178</v>
      </c>
      <c r="J17" s="5">
        <v>0.75347222222222221</v>
      </c>
      <c r="K17" s="5">
        <v>0.77777777777777779</v>
      </c>
      <c r="L17" s="5">
        <v>0.94444444444444442</v>
      </c>
      <c r="M17" s="5">
        <v>0.95486111111111116</v>
      </c>
      <c r="N17" s="13">
        <v>1</v>
      </c>
    </row>
    <row r="18" spans="1:14" x14ac:dyDescent="0.25">
      <c r="A18" s="7">
        <v>45545</v>
      </c>
      <c r="B18" s="10">
        <f t="shared" si="3"/>
        <v>2</v>
      </c>
      <c r="C18" s="8" t="s">
        <v>20</v>
      </c>
      <c r="D18" s="11">
        <f t="shared" si="0"/>
        <v>0.16666666666666607</v>
      </c>
      <c r="E18" s="8"/>
      <c r="F18" s="11" t="str">
        <f t="shared" si="1"/>
        <v/>
      </c>
      <c r="G18" s="8" t="s">
        <v>24</v>
      </c>
      <c r="H18" s="11" t="str">
        <f t="shared" si="2"/>
        <v/>
      </c>
      <c r="J18" s="5">
        <v>0.78125</v>
      </c>
      <c r="M18" s="5">
        <v>0.78819444444444442</v>
      </c>
      <c r="N18" s="13">
        <v>1</v>
      </c>
    </row>
    <row r="19" spans="1:14" x14ac:dyDescent="0.25">
      <c r="A19" s="7">
        <v>45545</v>
      </c>
      <c r="B19" s="10">
        <f t="shared" si="3"/>
        <v>3</v>
      </c>
      <c r="C19" s="8" t="s">
        <v>28</v>
      </c>
      <c r="D19" s="11">
        <f t="shared" si="0"/>
        <v>8.3333333333335702E-2</v>
      </c>
      <c r="E19" s="8"/>
      <c r="F19" s="11" t="str">
        <f t="shared" si="1"/>
        <v/>
      </c>
      <c r="G19" s="8" t="s">
        <v>20</v>
      </c>
      <c r="H19" s="11" t="str">
        <f t="shared" si="2"/>
        <v/>
      </c>
      <c r="J19" s="5">
        <v>0.79513888888888884</v>
      </c>
      <c r="M19" s="5">
        <v>0.79861111111111116</v>
      </c>
      <c r="N19" s="13">
        <v>1</v>
      </c>
    </row>
    <row r="20" spans="1:14" x14ac:dyDescent="0.25">
      <c r="A20" s="7">
        <v>45545</v>
      </c>
      <c r="B20" s="10">
        <f t="shared" si="3"/>
        <v>4</v>
      </c>
      <c r="C20" s="8" t="s">
        <v>13</v>
      </c>
      <c r="D20" s="11">
        <f t="shared" si="0"/>
        <v>0.16666666666666874</v>
      </c>
      <c r="E20" s="8" t="s">
        <v>47</v>
      </c>
      <c r="F20" s="11">
        <f>IF(K20&lt;&gt;"",IF(K20&gt;L20,(N20-K20+L20)*24,(L20-K20)*24),IF(E20="Y","NA",""))</f>
        <v>3.8333333333333321</v>
      </c>
      <c r="G20" s="8" t="s">
        <v>5</v>
      </c>
      <c r="H20" s="11">
        <f t="shared" si="2"/>
        <v>0.16666666666666666</v>
      </c>
      <c r="J20" s="5">
        <v>0.85416666666666663</v>
      </c>
      <c r="K20" s="5">
        <v>0.86111111111111116</v>
      </c>
      <c r="L20" s="5">
        <v>2.0833333333333332E-2</v>
      </c>
      <c r="M20" s="5">
        <v>2.7777777777777776E-2</v>
      </c>
      <c r="N20" s="13">
        <v>1</v>
      </c>
    </row>
    <row r="21" spans="1:14" x14ac:dyDescent="0.25">
      <c r="A21" s="7">
        <v>45545</v>
      </c>
      <c r="B21" s="10">
        <f t="shared" si="3"/>
        <v>5</v>
      </c>
      <c r="C21" s="8" t="s">
        <v>14</v>
      </c>
      <c r="D21" s="11">
        <f t="shared" si="0"/>
        <v>0.33333333333333215</v>
      </c>
      <c r="E21" s="8"/>
      <c r="F21" s="11" t="str">
        <f t="shared" si="1"/>
        <v/>
      </c>
      <c r="G21" s="8" t="s">
        <v>28</v>
      </c>
      <c r="H21" s="11" t="str">
        <f t="shared" si="2"/>
        <v/>
      </c>
      <c r="J21" s="5">
        <v>0.86805555555555558</v>
      </c>
      <c r="M21" s="5">
        <v>0.88194444444444442</v>
      </c>
      <c r="N21" s="13">
        <v>1</v>
      </c>
    </row>
    <row r="22" spans="1:14" x14ac:dyDescent="0.25">
      <c r="A22" s="7">
        <v>45545</v>
      </c>
      <c r="B22" s="10">
        <f t="shared" si="3"/>
        <v>6</v>
      </c>
      <c r="C22" s="8" t="s">
        <v>15</v>
      </c>
      <c r="D22" s="11">
        <f t="shared" si="0"/>
        <v>0.16666666666666874</v>
      </c>
      <c r="E22" s="8" t="s">
        <v>47</v>
      </c>
      <c r="F22" s="11">
        <f t="shared" si="1"/>
        <v>2.6666666666666661</v>
      </c>
      <c r="G22" s="8" t="s">
        <v>14</v>
      </c>
      <c r="H22" s="11">
        <f t="shared" si="2"/>
        <v>0.16666666666666666</v>
      </c>
      <c r="J22" s="5">
        <v>0.88888888888888884</v>
      </c>
      <c r="K22" s="5">
        <v>0.89583333333333337</v>
      </c>
      <c r="L22" s="5">
        <v>6.9444444444444441E-3</v>
      </c>
      <c r="M22" s="5">
        <v>1.3888888888888888E-2</v>
      </c>
      <c r="N22" s="13">
        <v>1</v>
      </c>
    </row>
    <row r="23" spans="1:14" x14ac:dyDescent="0.25">
      <c r="A23" s="7">
        <v>45545</v>
      </c>
      <c r="B23" s="10">
        <f t="shared" si="3"/>
        <v>7</v>
      </c>
      <c r="C23" s="8" t="s">
        <v>16</v>
      </c>
      <c r="D23" s="11">
        <f t="shared" si="0"/>
        <v>0.24999999999999911</v>
      </c>
      <c r="E23" s="8" t="s">
        <v>47</v>
      </c>
      <c r="F23" s="11">
        <f t="shared" si="1"/>
        <v>1.583333333333333</v>
      </c>
      <c r="G23" s="8" t="s">
        <v>15</v>
      </c>
      <c r="H23" s="11">
        <f t="shared" si="2"/>
        <v>0.33333333333333481</v>
      </c>
      <c r="J23" s="5">
        <v>0.90625</v>
      </c>
      <c r="K23" s="5">
        <v>0.91666666666666663</v>
      </c>
      <c r="L23" s="5">
        <v>0.98263888888888884</v>
      </c>
      <c r="M23" s="5">
        <v>0.99652777777777779</v>
      </c>
      <c r="N23" s="13">
        <v>1</v>
      </c>
    </row>
    <row r="24" spans="1:14" x14ac:dyDescent="0.25">
      <c r="A24" s="7">
        <v>45545</v>
      </c>
      <c r="B24" s="10">
        <f t="shared" si="3"/>
        <v>8</v>
      </c>
      <c r="C24" s="8" t="s">
        <v>19</v>
      </c>
      <c r="D24" s="11">
        <f t="shared" si="0"/>
        <v>0.33333333333333215</v>
      </c>
      <c r="E24" s="8" t="s">
        <v>47</v>
      </c>
      <c r="F24" s="11">
        <f t="shared" si="1"/>
        <v>0.58333333333333393</v>
      </c>
      <c r="G24" s="8" t="s">
        <v>16</v>
      </c>
      <c r="H24" s="11">
        <f t="shared" si="2"/>
        <v>0.24999999999999911</v>
      </c>
      <c r="J24" s="5">
        <v>0.92708333333333337</v>
      </c>
      <c r="K24" s="5">
        <v>0.94097222222222221</v>
      </c>
      <c r="L24" s="5">
        <v>0.96527777777777779</v>
      </c>
      <c r="M24" s="5">
        <v>0.97569444444444442</v>
      </c>
      <c r="N24" s="13">
        <v>1</v>
      </c>
    </row>
    <row r="25" spans="1:14" x14ac:dyDescent="0.25">
      <c r="A25" s="7">
        <v>45547</v>
      </c>
      <c r="B25" s="10">
        <f t="shared" si="3"/>
        <v>1</v>
      </c>
      <c r="C25" s="8" t="s">
        <v>24</v>
      </c>
      <c r="D25" s="11">
        <f t="shared" si="0"/>
        <v>0.25000000000000178</v>
      </c>
      <c r="E25" s="8"/>
      <c r="F25" s="11" t="str">
        <f t="shared" si="1"/>
        <v/>
      </c>
      <c r="G25" s="8" t="s">
        <v>21</v>
      </c>
      <c r="H25" s="11" t="str">
        <f t="shared" si="2"/>
        <v/>
      </c>
      <c r="J25" s="5">
        <v>0.66319444444444442</v>
      </c>
      <c r="M25" s="5">
        <v>0.67361111111111116</v>
      </c>
      <c r="N25" s="13">
        <v>1</v>
      </c>
    </row>
    <row r="26" spans="1:14" x14ac:dyDescent="0.25">
      <c r="A26" s="7">
        <v>45547</v>
      </c>
      <c r="B26" s="10">
        <f t="shared" si="3"/>
        <v>2</v>
      </c>
      <c r="C26" s="8" t="s">
        <v>14</v>
      </c>
      <c r="D26" s="11">
        <f t="shared" si="0"/>
        <v>0.24999999999999911</v>
      </c>
      <c r="E26" s="8" t="s">
        <v>47</v>
      </c>
      <c r="F26" s="11">
        <f t="shared" si="1"/>
        <v>4.1666666666666679</v>
      </c>
      <c r="G26" s="8" t="s">
        <v>14</v>
      </c>
      <c r="H26" s="11">
        <f t="shared" si="2"/>
        <v>0.41666666666666519</v>
      </c>
      <c r="J26" s="5">
        <v>0.68402777777777779</v>
      </c>
      <c r="K26" s="5">
        <v>0.69444444444444442</v>
      </c>
      <c r="L26" s="5">
        <v>0.86805555555555558</v>
      </c>
      <c r="M26" s="5">
        <v>0.88541666666666663</v>
      </c>
      <c r="N26" s="13">
        <v>1</v>
      </c>
    </row>
    <row r="27" spans="1:14" x14ac:dyDescent="0.25">
      <c r="A27" s="7">
        <v>45547</v>
      </c>
      <c r="B27" s="10">
        <f t="shared" si="3"/>
        <v>3</v>
      </c>
      <c r="C27" s="8" t="s">
        <v>15</v>
      </c>
      <c r="D27" s="11">
        <f t="shared" si="0"/>
        <v>0.33333333333333215</v>
      </c>
      <c r="E27" s="8" t="s">
        <v>47</v>
      </c>
      <c r="F27" s="11">
        <f t="shared" si="1"/>
        <v>2.916666666666667</v>
      </c>
      <c r="G27" s="8" t="s">
        <v>15</v>
      </c>
      <c r="H27" s="11">
        <f t="shared" si="2"/>
        <v>0.50000000000000089</v>
      </c>
      <c r="J27" s="5">
        <v>0.70486111111111116</v>
      </c>
      <c r="K27" s="5">
        <v>0.71875</v>
      </c>
      <c r="L27" s="5">
        <v>0.84027777777777779</v>
      </c>
      <c r="M27" s="5">
        <v>0.86111111111111116</v>
      </c>
      <c r="N27" s="13">
        <v>1</v>
      </c>
    </row>
    <row r="28" spans="1:14" x14ac:dyDescent="0.25">
      <c r="A28" s="7">
        <v>45547</v>
      </c>
      <c r="B28" s="10">
        <f t="shared" si="3"/>
        <v>4</v>
      </c>
      <c r="C28" s="8" t="s">
        <v>18</v>
      </c>
      <c r="D28" s="11">
        <f t="shared" si="0"/>
        <v>0.41666666666666519</v>
      </c>
      <c r="E28" s="8"/>
      <c r="F28" s="11" t="str">
        <f t="shared" si="1"/>
        <v/>
      </c>
      <c r="G28" s="8" t="s">
        <v>24</v>
      </c>
      <c r="H28" s="11" t="str">
        <f t="shared" si="2"/>
        <v/>
      </c>
      <c r="J28" s="5">
        <v>0.73611111111111116</v>
      </c>
      <c r="K28" s="5"/>
      <c r="M28" s="5">
        <v>0.75347222222222221</v>
      </c>
      <c r="N28" s="13">
        <v>1</v>
      </c>
    </row>
    <row r="29" spans="1:14" x14ac:dyDescent="0.25">
      <c r="A29" s="7">
        <v>45547</v>
      </c>
      <c r="B29" s="10">
        <f t="shared" si="3"/>
        <v>5</v>
      </c>
      <c r="C29" s="8" t="s">
        <v>2</v>
      </c>
      <c r="D29" s="11">
        <f t="shared" si="0"/>
        <v>0.24999999999999911</v>
      </c>
      <c r="E29" s="8"/>
      <c r="F29" s="11" t="str">
        <f t="shared" si="1"/>
        <v/>
      </c>
      <c r="G29" s="8" t="s">
        <v>18</v>
      </c>
      <c r="H29" s="11" t="str">
        <f t="shared" si="2"/>
        <v/>
      </c>
      <c r="J29" s="5">
        <v>0.76736111111111116</v>
      </c>
      <c r="K29" s="5"/>
      <c r="M29" s="5">
        <v>0.77777777777777779</v>
      </c>
      <c r="N29" s="13">
        <v>1</v>
      </c>
    </row>
    <row r="30" spans="1:14" x14ac:dyDescent="0.25">
      <c r="A30" s="7">
        <v>45548</v>
      </c>
      <c r="B30" s="10">
        <f t="shared" si="3"/>
        <v>1</v>
      </c>
      <c r="C30" s="8" t="s">
        <v>4</v>
      </c>
      <c r="D30" s="11">
        <f t="shared" si="0"/>
        <v>0.26666666666666572</v>
      </c>
      <c r="E30" s="8"/>
      <c r="F30" s="11" t="str">
        <f t="shared" si="1"/>
        <v/>
      </c>
      <c r="G30" s="8" t="s">
        <v>13</v>
      </c>
      <c r="H30" s="11" t="str">
        <f t="shared" si="2"/>
        <v/>
      </c>
      <c r="J30" s="5">
        <v>0.68541666666666667</v>
      </c>
      <c r="M30" s="5">
        <v>0.69652777777777775</v>
      </c>
      <c r="N30" s="13">
        <v>1</v>
      </c>
    </row>
    <row r="31" spans="1:14" x14ac:dyDescent="0.25">
      <c r="A31" s="7">
        <v>45724</v>
      </c>
      <c r="B31" s="10">
        <f t="shared" si="3"/>
        <v>1</v>
      </c>
      <c r="C31" s="8" t="s">
        <v>13</v>
      </c>
      <c r="D31" s="11">
        <f t="shared" si="0"/>
        <v>3.5000000000000009</v>
      </c>
      <c r="E31" s="8" t="s">
        <v>47</v>
      </c>
      <c r="F31" s="11" t="str">
        <f t="shared" si="1"/>
        <v>NA</v>
      </c>
      <c r="G31" s="8" t="s">
        <v>13</v>
      </c>
      <c r="H31" s="11" t="str">
        <f t="shared" si="2"/>
        <v/>
      </c>
      <c r="J31" s="5">
        <v>0.8125</v>
      </c>
      <c r="M31" s="5">
        <v>0.95833333333333337</v>
      </c>
      <c r="N31" s="13">
        <v>1</v>
      </c>
    </row>
    <row r="32" spans="1:14" x14ac:dyDescent="0.25">
      <c r="A32" s="7">
        <v>45724</v>
      </c>
      <c r="B32" s="10">
        <f t="shared" si="3"/>
        <v>2</v>
      </c>
      <c r="C32" s="8" t="s">
        <v>15</v>
      </c>
      <c r="D32" s="11">
        <f t="shared" si="0"/>
        <v>2.25</v>
      </c>
      <c r="E32" s="8" t="s">
        <v>47</v>
      </c>
      <c r="F32" s="11" t="str">
        <f t="shared" si="1"/>
        <v>NA</v>
      </c>
      <c r="G32" s="8" t="s">
        <v>15</v>
      </c>
      <c r="H32" s="11" t="str">
        <f t="shared" si="2"/>
        <v/>
      </c>
      <c r="J32" s="5">
        <v>0.82291666666666663</v>
      </c>
      <c r="M32" s="5">
        <v>0.91666666666666663</v>
      </c>
      <c r="N32" s="13">
        <v>1</v>
      </c>
    </row>
    <row r="33" spans="1:14" x14ac:dyDescent="0.25">
      <c r="A33" s="7">
        <v>45724</v>
      </c>
      <c r="B33" s="10">
        <f t="shared" si="3"/>
        <v>3</v>
      </c>
      <c r="C33" s="8" t="s">
        <v>16</v>
      </c>
      <c r="D33" s="11">
        <f t="shared" si="0"/>
        <v>1.3333333333333339</v>
      </c>
      <c r="E33" s="8" t="s">
        <v>47</v>
      </c>
      <c r="F33" s="11" t="str">
        <f t="shared" si="1"/>
        <v>NA</v>
      </c>
      <c r="G33" s="8" t="s">
        <v>16</v>
      </c>
      <c r="H33" s="11" t="str">
        <f t="shared" si="2"/>
        <v/>
      </c>
      <c r="J33" s="5">
        <v>0.84722222222222221</v>
      </c>
      <c r="M33" s="5">
        <v>0.90277777777777779</v>
      </c>
      <c r="N33" s="13">
        <v>1</v>
      </c>
    </row>
    <row r="34" spans="1:14" x14ac:dyDescent="0.25">
      <c r="A34" s="7">
        <v>45724</v>
      </c>
      <c r="B34" s="10">
        <f t="shared" si="3"/>
        <v>4</v>
      </c>
      <c r="C34" s="8" t="s">
        <v>53</v>
      </c>
      <c r="D34" s="11">
        <f t="shared" ref="D34:D66" si="4">IF(K34=0,M34-J34,K34-J34)*24</f>
        <v>0.24999999999999911</v>
      </c>
      <c r="E34" s="8"/>
      <c r="F34" s="11" t="str">
        <f t="shared" si="1"/>
        <v/>
      </c>
      <c r="G34" s="8" t="s">
        <v>19</v>
      </c>
      <c r="H34" s="11" t="str">
        <f t="shared" si="2"/>
        <v/>
      </c>
      <c r="J34" s="5">
        <v>0.875</v>
      </c>
      <c r="M34" s="5">
        <v>0.88541666666666663</v>
      </c>
      <c r="N34" s="13">
        <v>1</v>
      </c>
    </row>
    <row r="35" spans="1:14" x14ac:dyDescent="0.25">
      <c r="A35" s="7">
        <v>45724</v>
      </c>
      <c r="B35" s="10">
        <f t="shared" si="3"/>
        <v>5</v>
      </c>
      <c r="C35" s="8" t="s">
        <v>28</v>
      </c>
      <c r="D35" s="11">
        <f t="shared" si="4"/>
        <v>3.4166666666666679</v>
      </c>
      <c r="E35" s="8" t="s">
        <v>47</v>
      </c>
      <c r="F35" s="11" t="str">
        <f t="shared" si="1"/>
        <v>NA</v>
      </c>
      <c r="G35" s="8" t="s">
        <v>14</v>
      </c>
      <c r="H35" s="11" t="str">
        <f t="shared" si="2"/>
        <v/>
      </c>
      <c r="J35" s="5">
        <v>0.79513888888888884</v>
      </c>
      <c r="M35" s="5">
        <v>0.9375</v>
      </c>
      <c r="N35" s="13">
        <v>1</v>
      </c>
    </row>
    <row r="36" spans="1:14" x14ac:dyDescent="0.25">
      <c r="A36" s="7">
        <v>45726</v>
      </c>
      <c r="B36" s="10">
        <f t="shared" si="3"/>
        <v>1</v>
      </c>
      <c r="C36" s="8" t="s">
        <v>13</v>
      </c>
      <c r="D36" s="11">
        <f t="shared" si="4"/>
        <v>0.41666666666666785</v>
      </c>
      <c r="E36" s="8"/>
      <c r="F36" s="11" t="str">
        <f t="shared" si="1"/>
        <v/>
      </c>
      <c r="G36" s="8" t="s">
        <v>21</v>
      </c>
      <c r="H36" s="11" t="str">
        <f t="shared" si="2"/>
        <v/>
      </c>
      <c r="J36" s="5">
        <v>0.78125</v>
      </c>
      <c r="M36" s="5">
        <v>0.79861111111111116</v>
      </c>
      <c r="N36" s="13">
        <v>1</v>
      </c>
    </row>
    <row r="37" spans="1:14" x14ac:dyDescent="0.25">
      <c r="A37" s="7">
        <v>45726</v>
      </c>
      <c r="B37" s="10">
        <f t="shared" si="3"/>
        <v>2</v>
      </c>
      <c r="C37" s="8" t="s">
        <v>14</v>
      </c>
      <c r="D37" s="11">
        <f t="shared" si="4"/>
        <v>0.33333333333333215</v>
      </c>
      <c r="E37" s="8"/>
      <c r="F37" s="11" t="str">
        <f t="shared" si="1"/>
        <v/>
      </c>
      <c r="G37" s="8" t="s">
        <v>28</v>
      </c>
      <c r="H37" s="11" t="str">
        <f t="shared" si="2"/>
        <v/>
      </c>
      <c r="J37" s="5">
        <v>0.80555555555555558</v>
      </c>
      <c r="M37" s="5">
        <v>0.81944444444444442</v>
      </c>
      <c r="N37" s="13">
        <v>1</v>
      </c>
    </row>
    <row r="38" spans="1:14" x14ac:dyDescent="0.25">
      <c r="A38" s="7">
        <v>45726</v>
      </c>
      <c r="B38" s="10">
        <f t="shared" si="3"/>
        <v>3</v>
      </c>
      <c r="C38" s="8" t="s">
        <v>15</v>
      </c>
      <c r="D38" s="11">
        <f t="shared" si="4"/>
        <v>3.5000000000000009</v>
      </c>
      <c r="E38" s="8" t="s">
        <v>47</v>
      </c>
      <c r="F38" s="11" t="str">
        <f t="shared" si="1"/>
        <v>NA</v>
      </c>
      <c r="G38" s="8" t="s">
        <v>54</v>
      </c>
      <c r="H38" s="11" t="str">
        <f t="shared" si="2"/>
        <v/>
      </c>
      <c r="J38" s="5">
        <v>0.82638888888888884</v>
      </c>
      <c r="M38" s="5">
        <v>0.97222222222222221</v>
      </c>
      <c r="N38" s="13">
        <v>1</v>
      </c>
    </row>
    <row r="39" spans="1:14" x14ac:dyDescent="0.25">
      <c r="A39" s="7">
        <v>45726</v>
      </c>
      <c r="B39" s="10">
        <f t="shared" si="3"/>
        <v>4</v>
      </c>
      <c r="C39" s="8" t="s">
        <v>16</v>
      </c>
      <c r="D39" s="11">
        <f t="shared" si="4"/>
        <v>2.8333333333333339</v>
      </c>
      <c r="E39" s="8" t="s">
        <v>47</v>
      </c>
      <c r="F39" s="11" t="str">
        <f t="shared" si="1"/>
        <v>NA</v>
      </c>
      <c r="G39" s="8" t="s">
        <v>16</v>
      </c>
      <c r="H39" s="11" t="str">
        <f t="shared" si="2"/>
        <v/>
      </c>
      <c r="J39" s="5">
        <v>0.83680555555555558</v>
      </c>
      <c r="M39" s="5">
        <v>0.95486111111111116</v>
      </c>
      <c r="N39" s="13">
        <v>1</v>
      </c>
    </row>
    <row r="40" spans="1:14" x14ac:dyDescent="0.25">
      <c r="A40" s="7">
        <v>45726</v>
      </c>
      <c r="B40" s="10">
        <f t="shared" si="3"/>
        <v>5</v>
      </c>
      <c r="C40" s="8" t="s">
        <v>19</v>
      </c>
      <c r="D40" s="11">
        <f t="shared" si="4"/>
        <v>0.25000000000000178</v>
      </c>
      <c r="E40" s="8"/>
      <c r="F40" s="11" t="str">
        <f t="shared" si="1"/>
        <v/>
      </c>
      <c r="G40" s="8" t="s">
        <v>53</v>
      </c>
      <c r="H40" s="11" t="str">
        <f t="shared" si="2"/>
        <v/>
      </c>
      <c r="J40" s="5">
        <v>0.85416666666666663</v>
      </c>
      <c r="K40" s="5"/>
      <c r="M40" s="5">
        <v>0.86458333333333337</v>
      </c>
      <c r="N40" s="13">
        <v>1</v>
      </c>
    </row>
    <row r="41" spans="1:14" x14ac:dyDescent="0.25">
      <c r="A41" s="7">
        <v>45726</v>
      </c>
      <c r="B41" s="10">
        <f t="shared" si="3"/>
        <v>6</v>
      </c>
      <c r="C41" s="8" t="s">
        <v>54</v>
      </c>
      <c r="D41" s="11">
        <f t="shared" si="4"/>
        <v>0.50000000000000089</v>
      </c>
      <c r="E41" s="8"/>
      <c r="F41" s="11" t="str">
        <f t="shared" si="1"/>
        <v/>
      </c>
      <c r="G41" s="8" t="s">
        <v>19</v>
      </c>
      <c r="H41" s="11" t="str">
        <f t="shared" si="2"/>
        <v/>
      </c>
      <c r="J41" s="5">
        <v>0.91666666666666663</v>
      </c>
      <c r="M41" s="5">
        <v>0.9375</v>
      </c>
      <c r="N41" s="13">
        <v>1</v>
      </c>
    </row>
    <row r="42" spans="1:14" x14ac:dyDescent="0.25">
      <c r="A42" s="7">
        <v>45727</v>
      </c>
      <c r="B42" s="10">
        <f t="shared" si="3"/>
        <v>1</v>
      </c>
      <c r="C42" s="8" t="s">
        <v>10</v>
      </c>
      <c r="D42" s="11">
        <f t="shared" si="4"/>
        <v>4.8333333333333321</v>
      </c>
      <c r="E42" s="8" t="s">
        <v>47</v>
      </c>
      <c r="F42" s="11" t="str">
        <f t="shared" si="1"/>
        <v>NA</v>
      </c>
      <c r="G42" s="8" t="s">
        <v>14</v>
      </c>
      <c r="H42" s="11" t="str">
        <f t="shared" si="2"/>
        <v/>
      </c>
      <c r="J42" s="5">
        <v>0.67361111111111116</v>
      </c>
      <c r="M42" s="5">
        <v>0.875</v>
      </c>
      <c r="N42" s="13">
        <v>1</v>
      </c>
    </row>
    <row r="43" spans="1:14" x14ac:dyDescent="0.25">
      <c r="A43" s="7">
        <v>45727</v>
      </c>
      <c r="B43" s="10">
        <f t="shared" si="3"/>
        <v>2</v>
      </c>
      <c r="C43" s="8" t="s">
        <v>55</v>
      </c>
      <c r="D43" s="11">
        <f t="shared" si="4"/>
        <v>0.33333333333333215</v>
      </c>
      <c r="E43" s="8"/>
      <c r="F43" s="11" t="str">
        <f t="shared" si="1"/>
        <v/>
      </c>
      <c r="G43" s="8" t="s">
        <v>10</v>
      </c>
      <c r="H43" s="11" t="str">
        <f t="shared" si="2"/>
        <v/>
      </c>
      <c r="J43" s="5">
        <v>0.71180555555555558</v>
      </c>
      <c r="M43" s="5">
        <v>0.72569444444444442</v>
      </c>
      <c r="N43" s="13">
        <v>1</v>
      </c>
    </row>
    <row r="44" spans="1:14" x14ac:dyDescent="0.25">
      <c r="A44" s="7">
        <v>45727</v>
      </c>
      <c r="B44" s="10">
        <f t="shared" si="3"/>
        <v>3</v>
      </c>
      <c r="C44" s="8" t="s">
        <v>20</v>
      </c>
      <c r="D44" s="11">
        <f t="shared" si="4"/>
        <v>0.24999999999999911</v>
      </c>
      <c r="E44" s="8"/>
      <c r="F44" s="11" t="str">
        <f t="shared" si="1"/>
        <v/>
      </c>
      <c r="G44" s="8" t="s">
        <v>55</v>
      </c>
      <c r="H44" s="11" t="str">
        <f t="shared" si="2"/>
        <v/>
      </c>
      <c r="J44" s="5">
        <v>0.84375</v>
      </c>
      <c r="M44" s="5">
        <v>0.85416666666666663</v>
      </c>
      <c r="N44" s="13">
        <v>1</v>
      </c>
    </row>
    <row r="45" spans="1:14" x14ac:dyDescent="0.25">
      <c r="A45" s="7">
        <v>45729</v>
      </c>
      <c r="B45" s="10">
        <f t="shared" si="3"/>
        <v>1</v>
      </c>
      <c r="C45" s="8" t="s">
        <v>10</v>
      </c>
      <c r="D45" s="11">
        <f t="shared" si="4"/>
        <v>0.16666666666666607</v>
      </c>
      <c r="E45" s="8"/>
      <c r="F45" s="11" t="str">
        <f t="shared" si="1"/>
        <v/>
      </c>
      <c r="G45" s="8" t="s">
        <v>14</v>
      </c>
      <c r="H45" s="11" t="str">
        <f t="shared" si="2"/>
        <v/>
      </c>
      <c r="J45" s="5">
        <v>0.65277777777777779</v>
      </c>
      <c r="M45" s="5">
        <v>0.65972222222222221</v>
      </c>
      <c r="N45" s="13">
        <v>1</v>
      </c>
    </row>
    <row r="46" spans="1:14" x14ac:dyDescent="0.25">
      <c r="A46" s="7">
        <v>45729</v>
      </c>
      <c r="B46" s="10">
        <f t="shared" si="3"/>
        <v>2</v>
      </c>
      <c r="C46" s="8" t="s">
        <v>9</v>
      </c>
      <c r="D46" s="11">
        <f t="shared" si="4"/>
        <v>0.24999999999999911</v>
      </c>
      <c r="E46" s="8"/>
      <c r="F46" s="11" t="str">
        <f t="shared" si="1"/>
        <v/>
      </c>
      <c r="G46" s="8" t="s">
        <v>10</v>
      </c>
      <c r="H46" s="11" t="str">
        <f t="shared" si="2"/>
        <v/>
      </c>
      <c r="J46" s="5">
        <v>0.70486111111111116</v>
      </c>
      <c r="M46" s="5">
        <v>0.71527777777777779</v>
      </c>
      <c r="N46" s="13">
        <v>1</v>
      </c>
    </row>
    <row r="47" spans="1:14" x14ac:dyDescent="0.25">
      <c r="A47" s="7">
        <v>45729</v>
      </c>
      <c r="B47" s="10">
        <f t="shared" si="3"/>
        <v>3</v>
      </c>
      <c r="C47" s="8" t="s">
        <v>57</v>
      </c>
      <c r="D47" s="11">
        <f t="shared" si="4"/>
        <v>0.33333333333333481</v>
      </c>
      <c r="E47" s="8"/>
      <c r="F47" s="11" t="str">
        <f t="shared" si="1"/>
        <v/>
      </c>
      <c r="G47" s="8" t="s">
        <v>13</v>
      </c>
      <c r="H47" s="11" t="str">
        <f t="shared" si="2"/>
        <v/>
      </c>
      <c r="J47" s="5">
        <v>0.88541666666666663</v>
      </c>
      <c r="M47" s="5">
        <v>0.89930555555555558</v>
      </c>
      <c r="N47" s="13">
        <v>1</v>
      </c>
    </row>
    <row r="48" spans="1:14" x14ac:dyDescent="0.25">
      <c r="A48" s="7">
        <v>45729</v>
      </c>
      <c r="B48" s="10">
        <f t="shared" si="3"/>
        <v>4</v>
      </c>
      <c r="C48" s="8" t="s">
        <v>18</v>
      </c>
      <c r="D48" s="11">
        <f t="shared" si="4"/>
        <v>0.16666666666666607</v>
      </c>
      <c r="E48" s="8"/>
      <c r="F48" s="11" t="str">
        <f t="shared" si="1"/>
        <v/>
      </c>
      <c r="G48" s="8" t="s">
        <v>15</v>
      </c>
      <c r="H48" s="11" t="str">
        <f t="shared" si="2"/>
        <v/>
      </c>
      <c r="J48" s="5">
        <v>0.9375</v>
      </c>
      <c r="M48" s="5">
        <v>0.94444444444444442</v>
      </c>
      <c r="N48" s="13">
        <v>1</v>
      </c>
    </row>
    <row r="49" spans="1:14" x14ac:dyDescent="0.25">
      <c r="A49" s="7">
        <v>45730</v>
      </c>
      <c r="B49" s="10">
        <f t="shared" si="3"/>
        <v>1</v>
      </c>
      <c r="C49" s="8" t="s">
        <v>24</v>
      </c>
      <c r="D49" s="11">
        <f t="shared" si="4"/>
        <v>4.7500000000000018</v>
      </c>
      <c r="E49" s="8" t="s">
        <v>47</v>
      </c>
      <c r="F49" s="11" t="str">
        <f t="shared" si="1"/>
        <v>NA</v>
      </c>
      <c r="G49" s="8" t="s">
        <v>24</v>
      </c>
      <c r="H49" s="11" t="str">
        <f t="shared" si="2"/>
        <v/>
      </c>
      <c r="J49" s="5">
        <v>0.82638888888888884</v>
      </c>
      <c r="M49" s="5">
        <v>1.0243055555555556</v>
      </c>
      <c r="N49" s="13">
        <v>1</v>
      </c>
    </row>
    <row r="50" spans="1:14" x14ac:dyDescent="0.25">
      <c r="A50" s="7">
        <v>45730</v>
      </c>
      <c r="B50" s="10">
        <f t="shared" si="3"/>
        <v>2</v>
      </c>
      <c r="C50" s="8" t="s">
        <v>25</v>
      </c>
      <c r="D50" s="11">
        <f t="shared" si="4"/>
        <v>0.24999999999999911</v>
      </c>
      <c r="E50" s="8" t="s">
        <v>47</v>
      </c>
      <c r="F50" s="11" t="str">
        <f t="shared" si="1"/>
        <v>NA</v>
      </c>
      <c r="G50" s="8" t="s">
        <v>54</v>
      </c>
      <c r="H50" s="11" t="str">
        <f t="shared" si="2"/>
        <v/>
      </c>
      <c r="J50" s="5">
        <v>0.98958333333333337</v>
      </c>
      <c r="M50" s="5">
        <v>1</v>
      </c>
      <c r="N50" s="13">
        <v>1</v>
      </c>
    </row>
    <row r="51" spans="1:14" x14ac:dyDescent="0.25">
      <c r="A51" s="7">
        <v>45730</v>
      </c>
      <c r="B51" s="10">
        <f t="shared" si="3"/>
        <v>3</v>
      </c>
      <c r="C51" s="8" t="s">
        <v>13</v>
      </c>
      <c r="D51" s="11">
        <f t="shared" si="4"/>
        <v>4.0833333333333321</v>
      </c>
      <c r="E51" s="8"/>
      <c r="F51" s="11" t="str">
        <f t="shared" si="1"/>
        <v/>
      </c>
      <c r="G51" s="8" t="s">
        <v>25</v>
      </c>
      <c r="H51" s="11" t="str">
        <f t="shared" si="2"/>
        <v/>
      </c>
      <c r="J51" s="5">
        <v>0.84375</v>
      </c>
      <c r="M51" s="5">
        <v>1.0138888888888888</v>
      </c>
      <c r="N51" s="13">
        <v>1</v>
      </c>
    </row>
    <row r="52" spans="1:14" x14ac:dyDescent="0.25">
      <c r="A52" s="7">
        <v>45730</v>
      </c>
      <c r="B52" s="10">
        <f t="shared" si="3"/>
        <v>4</v>
      </c>
      <c r="C52" s="8" t="s">
        <v>14</v>
      </c>
      <c r="D52" s="11">
        <f t="shared" si="4"/>
        <v>1.6666666666666661</v>
      </c>
      <c r="E52" s="8" t="s">
        <v>47</v>
      </c>
      <c r="F52" s="11" t="str">
        <f t="shared" si="1"/>
        <v>NA</v>
      </c>
      <c r="G52" s="8" t="s">
        <v>14</v>
      </c>
      <c r="H52" s="11" t="str">
        <f t="shared" si="2"/>
        <v/>
      </c>
      <c r="J52" s="5">
        <v>0.86805555555555558</v>
      </c>
      <c r="M52" s="5">
        <v>0.9375</v>
      </c>
      <c r="N52" s="13">
        <v>1</v>
      </c>
    </row>
    <row r="53" spans="1:14" x14ac:dyDescent="0.25">
      <c r="A53" s="7">
        <v>45730</v>
      </c>
      <c r="B53" s="10">
        <f t="shared" si="3"/>
        <v>5</v>
      </c>
      <c r="C53" s="8" t="s">
        <v>15</v>
      </c>
      <c r="D53" s="11">
        <f t="shared" si="4"/>
        <v>1.416666666666667</v>
      </c>
      <c r="E53" s="8" t="s">
        <v>47</v>
      </c>
      <c r="F53" s="11" t="str">
        <f t="shared" si="1"/>
        <v>NA</v>
      </c>
      <c r="G53" s="8" t="s">
        <v>15</v>
      </c>
      <c r="H53" s="11" t="str">
        <f t="shared" si="2"/>
        <v/>
      </c>
      <c r="J53" s="5">
        <v>0.88541666666666663</v>
      </c>
      <c r="M53" s="5">
        <v>0.94444444444444442</v>
      </c>
      <c r="N53" s="13">
        <v>1</v>
      </c>
    </row>
    <row r="54" spans="1:14" x14ac:dyDescent="0.25">
      <c r="A54" s="7">
        <v>45730</v>
      </c>
      <c r="B54" s="10">
        <f t="shared" si="3"/>
        <v>6</v>
      </c>
      <c r="C54" s="8" t="s">
        <v>54</v>
      </c>
      <c r="D54" s="11">
        <f t="shared" si="4"/>
        <v>0.33333333333333215</v>
      </c>
      <c r="E54" s="8"/>
      <c r="F54" s="11" t="str">
        <f t="shared" si="1"/>
        <v/>
      </c>
      <c r="G54" s="8" t="s">
        <v>18</v>
      </c>
      <c r="H54" s="11" t="str">
        <f t="shared" si="2"/>
        <v/>
      </c>
      <c r="J54" s="5">
        <v>0.90625</v>
      </c>
      <c r="M54" s="5">
        <v>0.92013888888888884</v>
      </c>
      <c r="N54" s="13">
        <v>1</v>
      </c>
    </row>
    <row r="55" spans="1:14" x14ac:dyDescent="0.25">
      <c r="A55" s="7">
        <v>45730</v>
      </c>
      <c r="B55" s="10">
        <f t="shared" si="3"/>
        <v>7</v>
      </c>
      <c r="C55" s="8" t="s">
        <v>10</v>
      </c>
      <c r="D55" s="11">
        <f t="shared" si="4"/>
        <v>0.16666666666666607</v>
      </c>
      <c r="E55" s="8"/>
      <c r="F55" s="11" t="str">
        <f t="shared" si="1"/>
        <v/>
      </c>
      <c r="G55" s="8" t="s">
        <v>9</v>
      </c>
      <c r="H55" s="11" t="str">
        <f t="shared" si="2"/>
        <v/>
      </c>
      <c r="J55" s="5">
        <v>0.95486111111111116</v>
      </c>
      <c r="M55" s="5">
        <v>0.96180555555555558</v>
      </c>
      <c r="N55" s="13">
        <v>1</v>
      </c>
    </row>
    <row r="56" spans="1:14" x14ac:dyDescent="0.25">
      <c r="A56" s="7">
        <v>45730</v>
      </c>
      <c r="B56" s="10">
        <f t="shared" si="3"/>
        <v>8</v>
      </c>
      <c r="C56" s="8" t="s">
        <v>20</v>
      </c>
      <c r="D56" s="11">
        <f t="shared" si="4"/>
        <v>0.75</v>
      </c>
      <c r="E56" s="8" t="s">
        <v>47</v>
      </c>
      <c r="F56" s="11" t="str">
        <f t="shared" si="1"/>
        <v>NA</v>
      </c>
      <c r="G56" s="8" t="s">
        <v>21</v>
      </c>
      <c r="H56" s="11" t="str">
        <f t="shared" si="2"/>
        <v/>
      </c>
      <c r="J56" s="5">
        <v>0.76388888888888884</v>
      </c>
      <c r="M56" s="5">
        <v>0.79513888888888884</v>
      </c>
      <c r="N56" s="13">
        <v>1</v>
      </c>
    </row>
    <row r="57" spans="1:14" x14ac:dyDescent="0.25">
      <c r="A57" s="7">
        <v>45730</v>
      </c>
      <c r="B57" s="10">
        <f t="shared" si="3"/>
        <v>9</v>
      </c>
      <c r="C57" s="8" t="s">
        <v>21</v>
      </c>
      <c r="D57" s="11">
        <f t="shared" si="4"/>
        <v>0.24999999999999911</v>
      </c>
      <c r="E57" s="8"/>
      <c r="F57" s="11" t="str">
        <f t="shared" si="1"/>
        <v/>
      </c>
      <c r="G57" s="8" t="s">
        <v>20</v>
      </c>
      <c r="H57" s="11" t="str">
        <f t="shared" si="2"/>
        <v/>
      </c>
      <c r="J57" s="5">
        <v>0.77083333333333337</v>
      </c>
      <c r="M57" s="5">
        <v>0.78125</v>
      </c>
      <c r="N57" s="13">
        <v>1</v>
      </c>
    </row>
    <row r="58" spans="1:14" x14ac:dyDescent="0.25">
      <c r="A58" s="7">
        <v>45731</v>
      </c>
      <c r="B58" s="10">
        <f t="shared" si="3"/>
        <v>1</v>
      </c>
      <c r="C58" s="8" t="s">
        <v>8</v>
      </c>
      <c r="D58" s="11">
        <f t="shared" si="4"/>
        <v>0.16666666666666607</v>
      </c>
      <c r="E58" s="8"/>
      <c r="F58" s="11" t="str">
        <f t="shared" si="1"/>
        <v/>
      </c>
      <c r="G58" s="8" t="s">
        <v>10</v>
      </c>
      <c r="H58" s="11" t="str">
        <f t="shared" si="2"/>
        <v/>
      </c>
      <c r="J58" s="5">
        <v>0.625</v>
      </c>
      <c r="M58" s="5">
        <v>0.63194444444444442</v>
      </c>
      <c r="N58" s="13">
        <v>1</v>
      </c>
    </row>
    <row r="59" spans="1:14" x14ac:dyDescent="0.25">
      <c r="A59" s="7">
        <v>45733</v>
      </c>
      <c r="B59" s="10">
        <f t="shared" si="3"/>
        <v>1</v>
      </c>
      <c r="C59" s="8" t="s">
        <v>28</v>
      </c>
      <c r="D59" s="11">
        <f t="shared" si="4"/>
        <v>4.9166666666666652</v>
      </c>
      <c r="E59" s="8" t="s">
        <v>47</v>
      </c>
      <c r="F59" s="11" t="str">
        <f t="shared" si="1"/>
        <v>NA</v>
      </c>
      <c r="G59" s="8" t="s">
        <v>28</v>
      </c>
      <c r="H59" s="11" t="str">
        <f t="shared" si="2"/>
        <v/>
      </c>
      <c r="J59" s="5">
        <v>0.67361111111111116</v>
      </c>
      <c r="M59" s="5">
        <v>0.87847222222222221</v>
      </c>
      <c r="N59" s="13">
        <v>1</v>
      </c>
    </row>
    <row r="60" spans="1:14" x14ac:dyDescent="0.25">
      <c r="A60" s="7">
        <v>45733</v>
      </c>
      <c r="B60" s="10">
        <f t="shared" si="3"/>
        <v>2</v>
      </c>
      <c r="C60" s="8" t="s">
        <v>27</v>
      </c>
      <c r="D60" s="11">
        <f t="shared" si="4"/>
        <v>5.166666666666667</v>
      </c>
      <c r="E60" s="8" t="s">
        <v>47</v>
      </c>
      <c r="F60" s="11" t="str">
        <f t="shared" si="1"/>
        <v>NA</v>
      </c>
      <c r="G60" s="8" t="s">
        <v>27</v>
      </c>
      <c r="H60" s="11" t="str">
        <f t="shared" si="2"/>
        <v/>
      </c>
      <c r="J60" s="5">
        <v>0.68402777777777779</v>
      </c>
      <c r="M60" s="5">
        <v>0.89930555555555558</v>
      </c>
      <c r="N60" s="13">
        <v>1</v>
      </c>
    </row>
    <row r="61" spans="1:14" x14ac:dyDescent="0.25">
      <c r="A61" s="7">
        <v>45733</v>
      </c>
      <c r="B61" s="10">
        <f t="shared" si="3"/>
        <v>3</v>
      </c>
      <c r="C61" s="8" t="s">
        <v>26</v>
      </c>
      <c r="D61" s="11">
        <f t="shared" si="4"/>
        <v>5.166666666666667</v>
      </c>
      <c r="E61" s="8" t="s">
        <v>47</v>
      </c>
      <c r="F61" s="11" t="str">
        <f t="shared" si="1"/>
        <v>NA</v>
      </c>
      <c r="G61" s="8" t="s">
        <v>26</v>
      </c>
      <c r="H61" s="11" t="str">
        <f t="shared" si="2"/>
        <v/>
      </c>
      <c r="J61" s="5">
        <v>0.69444444444444442</v>
      </c>
      <c r="M61" s="5">
        <v>0.90972222222222221</v>
      </c>
      <c r="N61" s="13">
        <v>1</v>
      </c>
    </row>
    <row r="62" spans="1:14" x14ac:dyDescent="0.25">
      <c r="A62" s="7">
        <v>45733</v>
      </c>
      <c r="B62" s="10">
        <f t="shared" si="3"/>
        <v>4</v>
      </c>
      <c r="C62" s="8" t="s">
        <v>11</v>
      </c>
      <c r="D62" s="11">
        <f t="shared" si="4"/>
        <v>0.33333333333333215</v>
      </c>
      <c r="E62" s="8"/>
      <c r="F62" s="11" t="str">
        <f t="shared" si="1"/>
        <v/>
      </c>
      <c r="G62" s="8" t="s">
        <v>10</v>
      </c>
      <c r="H62" s="11" t="str">
        <f t="shared" si="2"/>
        <v/>
      </c>
      <c r="J62" s="5">
        <v>0.84375</v>
      </c>
      <c r="M62" s="5">
        <v>0.85763888888888884</v>
      </c>
      <c r="N62" s="13">
        <v>1</v>
      </c>
    </row>
    <row r="63" spans="1:14" x14ac:dyDescent="0.25">
      <c r="A63" s="7">
        <v>45871</v>
      </c>
      <c r="B63" s="10">
        <f t="shared" si="3"/>
        <v>1</v>
      </c>
      <c r="C63" s="8" t="s">
        <v>52</v>
      </c>
      <c r="D63" s="11">
        <f t="shared" si="4"/>
        <v>0.33333333333333481</v>
      </c>
      <c r="E63" s="8"/>
      <c r="F63" s="11" t="str">
        <f t="shared" si="1"/>
        <v/>
      </c>
      <c r="G63" s="8" t="s">
        <v>14</v>
      </c>
      <c r="H63" s="11" t="str">
        <f t="shared" si="2"/>
        <v/>
      </c>
      <c r="J63" s="5">
        <v>0.63541666666666663</v>
      </c>
      <c r="M63" s="5">
        <v>0.64930555555555558</v>
      </c>
      <c r="N63" s="13">
        <v>1</v>
      </c>
    </row>
    <row r="64" spans="1:14" x14ac:dyDescent="0.25">
      <c r="A64" s="7">
        <v>45871</v>
      </c>
      <c r="B64" s="10">
        <f t="shared" si="3"/>
        <v>2</v>
      </c>
      <c r="C64" s="8" t="s">
        <v>57</v>
      </c>
      <c r="D64" s="11">
        <f t="shared" si="4"/>
        <v>0.33333333333333215</v>
      </c>
      <c r="E64" s="8"/>
      <c r="F64" s="11" t="str">
        <f t="shared" si="1"/>
        <v/>
      </c>
      <c r="G64" s="8" t="s">
        <v>52</v>
      </c>
      <c r="H64" s="11" t="str">
        <f t="shared" si="2"/>
        <v/>
      </c>
      <c r="J64" s="5">
        <v>0.83333333333333337</v>
      </c>
      <c r="M64" s="5">
        <v>0.84722222222222221</v>
      </c>
      <c r="N64" s="13">
        <v>1</v>
      </c>
    </row>
    <row r="65" spans="1:14" x14ac:dyDescent="0.25">
      <c r="A65" s="7">
        <v>45873</v>
      </c>
      <c r="B65" s="10">
        <f t="shared" si="3"/>
        <v>1</v>
      </c>
      <c r="C65" s="8" t="s">
        <v>55</v>
      </c>
      <c r="D65" s="11">
        <f t="shared" si="4"/>
        <v>0.3000000000000016</v>
      </c>
      <c r="E65" s="8"/>
      <c r="F65" s="11" t="str">
        <f t="shared" si="1"/>
        <v/>
      </c>
      <c r="G65" s="8" t="s">
        <v>27</v>
      </c>
      <c r="H65" s="11" t="str">
        <f t="shared" si="2"/>
        <v/>
      </c>
      <c r="J65" s="5">
        <v>0.6958333333333333</v>
      </c>
      <c r="M65" s="5">
        <v>0.70833333333333337</v>
      </c>
      <c r="N65" s="13">
        <v>1</v>
      </c>
    </row>
    <row r="66" spans="1:14" x14ac:dyDescent="0.25">
      <c r="A66" s="7">
        <v>45873</v>
      </c>
      <c r="B66" s="10">
        <f t="shared" si="3"/>
        <v>2</v>
      </c>
      <c r="C66" s="8" t="s">
        <v>14</v>
      </c>
      <c r="D66" s="11">
        <f t="shared" si="4"/>
        <v>0.19999999999999929</v>
      </c>
      <c r="E66" s="8"/>
      <c r="F66" s="11" t="str">
        <f t="shared" ref="F66:F129" si="5">IF(K66&lt;&gt;"",IF(K66&gt;L66,(N66-K66+L66)*24,(L66-K66)*24),IF(E66="Y","NA",""))</f>
        <v/>
      </c>
      <c r="G66" s="8" t="s">
        <v>55</v>
      </c>
      <c r="H66" s="11" t="str">
        <f t="shared" ref="H66:H129" si="6">IF(K66&lt;&gt;0,(M66-L66)*24,"")</f>
        <v/>
      </c>
      <c r="J66" s="5">
        <v>0.71736111111111112</v>
      </c>
      <c r="M66" s="5">
        <v>0.72569444444444442</v>
      </c>
      <c r="N66" s="13">
        <v>1</v>
      </c>
    </row>
    <row r="67" spans="1:14" x14ac:dyDescent="0.25">
      <c r="A67" s="7">
        <v>45874</v>
      </c>
      <c r="B67" s="10">
        <f t="shared" ref="B67:B130" si="7">IF(A67&lt;&gt;A66,1,B66+1)</f>
        <v>1</v>
      </c>
      <c r="C67" s="8" t="s">
        <v>10</v>
      </c>
      <c r="D67" s="11">
        <f t="shared" ref="D67:D130" si="8">IF(K67=0,M67-J67,K67-J67)*24</f>
        <v>8.3333333333333037E-2</v>
      </c>
      <c r="E67" s="8"/>
      <c r="F67" s="11" t="str">
        <f t="shared" si="5"/>
        <v/>
      </c>
      <c r="G67" s="8" t="s">
        <v>14</v>
      </c>
      <c r="H67" s="11" t="str">
        <f t="shared" si="6"/>
        <v/>
      </c>
      <c r="J67" s="5">
        <v>0.70486111111111116</v>
      </c>
      <c r="M67" s="5">
        <v>0.70833333333333337</v>
      </c>
      <c r="N67" s="13">
        <v>1</v>
      </c>
    </row>
    <row r="68" spans="1:14" x14ac:dyDescent="0.25">
      <c r="A68" s="7">
        <v>45874</v>
      </c>
      <c r="B68" s="10">
        <f t="shared" si="7"/>
        <v>2</v>
      </c>
      <c r="C68" s="8" t="s">
        <v>24</v>
      </c>
      <c r="D68" s="11">
        <f t="shared" si="8"/>
        <v>0.41666666666666785</v>
      </c>
      <c r="E68" s="8"/>
      <c r="F68" s="11" t="str">
        <f t="shared" si="5"/>
        <v/>
      </c>
      <c r="G68" s="8" t="s">
        <v>10</v>
      </c>
      <c r="H68" s="11" t="str">
        <f t="shared" si="6"/>
        <v/>
      </c>
      <c r="J68" s="5">
        <v>0.72222222222222221</v>
      </c>
      <c r="M68" s="5">
        <v>0.73958333333333337</v>
      </c>
      <c r="N68" s="13">
        <v>1</v>
      </c>
    </row>
    <row r="69" spans="1:14" x14ac:dyDescent="0.25">
      <c r="A69" s="7">
        <v>45874</v>
      </c>
      <c r="B69" s="10">
        <f t="shared" si="7"/>
        <v>3</v>
      </c>
      <c r="C69" s="8" t="s">
        <v>52</v>
      </c>
      <c r="D69" s="11">
        <f t="shared" si="8"/>
        <v>8.3333333333333037E-2</v>
      </c>
      <c r="E69" s="8"/>
      <c r="F69" s="11" t="str">
        <f t="shared" si="5"/>
        <v/>
      </c>
      <c r="G69" s="8" t="s">
        <v>24</v>
      </c>
      <c r="H69" s="11" t="str">
        <f t="shared" si="6"/>
        <v/>
      </c>
      <c r="J69" s="5">
        <v>0.75</v>
      </c>
      <c r="M69" s="5">
        <v>0.75347222222222221</v>
      </c>
      <c r="N69" s="13">
        <v>1</v>
      </c>
    </row>
    <row r="70" spans="1:14" x14ac:dyDescent="0.25">
      <c r="A70" s="7">
        <v>45874</v>
      </c>
      <c r="B70" s="10">
        <f t="shared" si="7"/>
        <v>4</v>
      </c>
      <c r="C70" s="8" t="s">
        <v>53</v>
      </c>
      <c r="D70" s="11">
        <f t="shared" si="8"/>
        <v>0.24999999999999911</v>
      </c>
      <c r="E70" s="8"/>
      <c r="F70" s="11" t="str">
        <f t="shared" si="5"/>
        <v/>
      </c>
      <c r="G70" s="8" t="s">
        <v>52</v>
      </c>
      <c r="H70" s="11" t="str">
        <f t="shared" si="6"/>
        <v/>
      </c>
      <c r="J70" s="5">
        <v>0.9375</v>
      </c>
      <c r="M70" s="5">
        <v>0.94791666666666663</v>
      </c>
      <c r="N70" s="13">
        <v>1</v>
      </c>
    </row>
    <row r="71" spans="1:14" x14ac:dyDescent="0.25">
      <c r="A71" s="7">
        <v>45874</v>
      </c>
      <c r="B71" s="10">
        <f t="shared" si="7"/>
        <v>5</v>
      </c>
      <c r="C71" s="8" t="s">
        <v>21</v>
      </c>
      <c r="D71" s="11">
        <f t="shared" si="8"/>
        <v>8.3333333333333037E-2</v>
      </c>
      <c r="E71" s="8"/>
      <c r="F71" s="11" t="str">
        <f t="shared" si="5"/>
        <v/>
      </c>
      <c r="G71" s="8" t="s">
        <v>3</v>
      </c>
      <c r="H71" s="11" t="str">
        <f t="shared" si="6"/>
        <v/>
      </c>
      <c r="J71" s="5">
        <v>0.6875</v>
      </c>
      <c r="M71" s="5">
        <v>0.69097222222222221</v>
      </c>
      <c r="N71" s="13">
        <v>1</v>
      </c>
    </row>
    <row r="72" spans="1:14" x14ac:dyDescent="0.25">
      <c r="A72" s="7">
        <v>45875</v>
      </c>
      <c r="B72" s="10">
        <f t="shared" si="7"/>
        <v>1</v>
      </c>
      <c r="C72" s="8" t="s">
        <v>56</v>
      </c>
      <c r="D72" s="11">
        <f t="shared" si="8"/>
        <v>0.25000000000000178</v>
      </c>
      <c r="E72" s="8"/>
      <c r="F72" s="11" t="str">
        <f t="shared" si="5"/>
        <v/>
      </c>
      <c r="G72" s="8" t="s">
        <v>53</v>
      </c>
      <c r="H72" s="11" t="str">
        <f t="shared" si="6"/>
        <v/>
      </c>
      <c r="J72" s="5">
        <v>0.72916666666666663</v>
      </c>
      <c r="M72" s="5">
        <v>0.73958333333333337</v>
      </c>
      <c r="N72" s="13">
        <v>1</v>
      </c>
    </row>
    <row r="73" spans="1:14" x14ac:dyDescent="0.25">
      <c r="A73" s="7">
        <v>45875</v>
      </c>
      <c r="B73" s="10">
        <f t="shared" si="7"/>
        <v>2</v>
      </c>
      <c r="C73" s="8" t="s">
        <v>10</v>
      </c>
      <c r="D73" s="11">
        <f t="shared" si="8"/>
        <v>8.3333333333333037E-2</v>
      </c>
      <c r="E73" s="8" t="s">
        <v>47</v>
      </c>
      <c r="F73" s="11">
        <f t="shared" si="5"/>
        <v>2.166666666666667</v>
      </c>
      <c r="G73" s="8" t="s">
        <v>14</v>
      </c>
      <c r="H73" s="11">
        <f t="shared" si="6"/>
        <v>0.25000000000000178</v>
      </c>
      <c r="J73" s="5">
        <v>0.82291666666666663</v>
      </c>
      <c r="K73" s="5">
        <v>0.82638888888888884</v>
      </c>
      <c r="L73" s="5">
        <v>0.91666666666666663</v>
      </c>
      <c r="M73" s="5">
        <v>0.92708333333333337</v>
      </c>
      <c r="N73" s="13">
        <v>1</v>
      </c>
    </row>
    <row r="74" spans="1:14" x14ac:dyDescent="0.25">
      <c r="A74" s="7">
        <v>45875</v>
      </c>
      <c r="B74" s="10">
        <f t="shared" si="7"/>
        <v>3</v>
      </c>
      <c r="C74" s="8" t="s">
        <v>14</v>
      </c>
      <c r="D74" s="11">
        <f t="shared" si="8"/>
        <v>0.49999999999999822</v>
      </c>
      <c r="E74" s="8"/>
      <c r="F74" s="11" t="str">
        <f t="shared" si="5"/>
        <v/>
      </c>
      <c r="G74" s="8" t="s">
        <v>21</v>
      </c>
      <c r="H74" s="11" t="str">
        <f t="shared" si="6"/>
        <v/>
      </c>
      <c r="J74" s="5">
        <v>0.67361111111111116</v>
      </c>
      <c r="M74" s="5">
        <v>0.69444444444444442</v>
      </c>
      <c r="N74" s="13">
        <v>1</v>
      </c>
    </row>
    <row r="75" spans="1:14" x14ac:dyDescent="0.25">
      <c r="A75" s="7">
        <v>45875</v>
      </c>
      <c r="B75" s="10">
        <f t="shared" si="7"/>
        <v>4</v>
      </c>
      <c r="C75" s="8" t="s">
        <v>15</v>
      </c>
      <c r="D75" s="11">
        <f t="shared" si="8"/>
        <v>0.25000000000000178</v>
      </c>
      <c r="E75" s="8" t="s">
        <v>47</v>
      </c>
      <c r="F75" s="11">
        <f t="shared" si="5"/>
        <v>0.83333333333333304</v>
      </c>
      <c r="G75" s="8" t="s">
        <v>15</v>
      </c>
      <c r="H75" s="11">
        <f t="shared" si="6"/>
        <v>0.24999999999999911</v>
      </c>
      <c r="J75" s="5">
        <v>0.85069444444444442</v>
      </c>
      <c r="K75" s="5">
        <v>0.86111111111111116</v>
      </c>
      <c r="L75" s="5">
        <v>0.89583333333333337</v>
      </c>
      <c r="M75" s="5">
        <v>0.90625</v>
      </c>
      <c r="N75" s="13">
        <v>1</v>
      </c>
    </row>
    <row r="76" spans="1:14" x14ac:dyDescent="0.25">
      <c r="A76" s="7">
        <v>45875</v>
      </c>
      <c r="B76" s="10">
        <f t="shared" si="7"/>
        <v>5</v>
      </c>
      <c r="C76" s="8" t="s">
        <v>16</v>
      </c>
      <c r="D76" s="11">
        <f t="shared" si="8"/>
        <v>0.25000000000000178</v>
      </c>
      <c r="E76" s="8"/>
      <c r="F76" s="11" t="str">
        <f t="shared" si="5"/>
        <v/>
      </c>
      <c r="G76" s="8" t="s">
        <v>10</v>
      </c>
      <c r="H76" s="11" t="str">
        <f t="shared" si="6"/>
        <v/>
      </c>
      <c r="J76" s="5">
        <v>0.88194444444444442</v>
      </c>
      <c r="M76" s="5">
        <v>0.89236111111111116</v>
      </c>
      <c r="N76" s="13">
        <v>1</v>
      </c>
    </row>
    <row r="77" spans="1:14" x14ac:dyDescent="0.25">
      <c r="A77" s="7">
        <v>45875</v>
      </c>
      <c r="B77" s="10">
        <f t="shared" si="7"/>
        <v>6</v>
      </c>
      <c r="C77" s="8" t="s">
        <v>27</v>
      </c>
      <c r="D77" s="11">
        <f t="shared" si="8"/>
        <v>0.24999999999999911</v>
      </c>
      <c r="E77" s="8"/>
      <c r="F77" s="11" t="str">
        <f t="shared" si="5"/>
        <v/>
      </c>
      <c r="G77" s="8" t="s">
        <v>56</v>
      </c>
      <c r="H77" s="11" t="str">
        <f t="shared" si="6"/>
        <v/>
      </c>
      <c r="J77" s="5">
        <v>0.93055555555555558</v>
      </c>
      <c r="M77" s="5">
        <v>0.94097222222222221</v>
      </c>
      <c r="N77" s="13">
        <v>1</v>
      </c>
    </row>
    <row r="78" spans="1:14" x14ac:dyDescent="0.25">
      <c r="A78" s="7">
        <v>45876</v>
      </c>
      <c r="B78" s="10">
        <f t="shared" si="7"/>
        <v>1</v>
      </c>
      <c r="C78" s="8" t="s">
        <v>26</v>
      </c>
      <c r="D78" s="11">
        <f t="shared" si="8"/>
        <v>0.33333333333333215</v>
      </c>
      <c r="E78" s="8" t="s">
        <v>47</v>
      </c>
      <c r="F78" s="11">
        <f t="shared" si="5"/>
        <v>2.8333333333333339</v>
      </c>
      <c r="G78" s="8" t="s">
        <v>26</v>
      </c>
      <c r="H78" s="11">
        <f t="shared" si="6"/>
        <v>0.16666666666666607</v>
      </c>
      <c r="J78" s="5">
        <v>0.70486111111111116</v>
      </c>
      <c r="K78" s="5">
        <v>0.71875</v>
      </c>
      <c r="L78" s="5">
        <v>0.83680555555555558</v>
      </c>
      <c r="M78" s="5">
        <v>0.84375</v>
      </c>
      <c r="N78" s="13">
        <v>1</v>
      </c>
    </row>
    <row r="79" spans="1:14" x14ac:dyDescent="0.25">
      <c r="A79" s="7">
        <v>45876</v>
      </c>
      <c r="B79" s="10">
        <f t="shared" si="7"/>
        <v>2</v>
      </c>
      <c r="C79" s="8" t="s">
        <v>15</v>
      </c>
      <c r="D79" s="11">
        <f t="shared" si="8"/>
        <v>4.9999999999999822E-2</v>
      </c>
      <c r="E79" s="8" t="s">
        <v>47</v>
      </c>
      <c r="F79" s="11">
        <f t="shared" si="5"/>
        <v>3.2833333333333323</v>
      </c>
      <c r="G79" s="8" t="s">
        <v>15</v>
      </c>
      <c r="H79" s="11">
        <f t="shared" si="6"/>
        <v>0.19999999999999929</v>
      </c>
      <c r="J79" s="5">
        <v>0.82986111111111116</v>
      </c>
      <c r="K79" s="5">
        <v>0.83194444444444449</v>
      </c>
      <c r="L79" s="5">
        <v>0.96875</v>
      </c>
      <c r="M79" s="5">
        <v>0.9770833333333333</v>
      </c>
      <c r="N79" s="13">
        <v>1</v>
      </c>
    </row>
    <row r="80" spans="1:14" x14ac:dyDescent="0.25">
      <c r="A80" s="7">
        <v>45876</v>
      </c>
      <c r="B80" s="10">
        <f t="shared" si="7"/>
        <v>3</v>
      </c>
      <c r="C80" s="8" t="s">
        <v>19</v>
      </c>
      <c r="D80" s="11">
        <f t="shared" si="8"/>
        <v>0.16666666666666607</v>
      </c>
      <c r="E80" s="8"/>
      <c r="F80" s="11" t="str">
        <f t="shared" si="5"/>
        <v/>
      </c>
      <c r="G80" s="8" t="s">
        <v>16</v>
      </c>
      <c r="H80" s="11" t="str">
        <f t="shared" si="6"/>
        <v/>
      </c>
      <c r="J80" s="5">
        <v>0.58333333333333337</v>
      </c>
      <c r="M80" s="5">
        <v>0.59027777777777779</v>
      </c>
      <c r="N80" s="13">
        <v>1</v>
      </c>
    </row>
    <row r="81" spans="1:14" x14ac:dyDescent="0.25">
      <c r="A81" s="7">
        <v>45877</v>
      </c>
      <c r="B81" s="10">
        <f t="shared" si="7"/>
        <v>1</v>
      </c>
      <c r="C81" s="8" t="s">
        <v>24</v>
      </c>
      <c r="D81" s="11">
        <f t="shared" si="8"/>
        <v>0.16666666666666607</v>
      </c>
      <c r="E81" s="8" t="s">
        <v>47</v>
      </c>
      <c r="F81" s="11">
        <f t="shared" si="5"/>
        <v>4.0000000000000018</v>
      </c>
      <c r="G81" s="8" t="s">
        <v>24</v>
      </c>
      <c r="H81" s="11">
        <f t="shared" si="6"/>
        <v>8.3333333333330373E-2</v>
      </c>
      <c r="J81" s="5">
        <v>0.82986111111111116</v>
      </c>
      <c r="K81" s="5">
        <v>0.83680555555555558</v>
      </c>
      <c r="L81" s="5">
        <v>1.0034722222222223</v>
      </c>
      <c r="M81" s="5">
        <v>1.0069444444444444</v>
      </c>
      <c r="N81" s="13">
        <v>1</v>
      </c>
    </row>
    <row r="82" spans="1:14" x14ac:dyDescent="0.25">
      <c r="A82" s="7">
        <v>45877</v>
      </c>
      <c r="B82" s="10">
        <f t="shared" si="7"/>
        <v>2</v>
      </c>
      <c r="C82" s="8" t="s">
        <v>14</v>
      </c>
      <c r="D82" s="11">
        <f t="shared" si="8"/>
        <v>0.24999999999999911</v>
      </c>
      <c r="E82" s="8" t="s">
        <v>47</v>
      </c>
      <c r="F82" s="11">
        <f t="shared" si="5"/>
        <v>3.3333333333333348</v>
      </c>
      <c r="G82" s="8" t="s">
        <v>25</v>
      </c>
      <c r="H82" s="11">
        <f t="shared" si="6"/>
        <v>8.3333333333333037E-2</v>
      </c>
      <c r="J82" s="5">
        <v>0.84375</v>
      </c>
      <c r="K82" s="5">
        <v>0.85416666666666663</v>
      </c>
      <c r="L82" s="5">
        <v>0.99305555555555558</v>
      </c>
      <c r="M82" s="5">
        <v>0.99652777777777779</v>
      </c>
      <c r="N82" s="13">
        <v>1</v>
      </c>
    </row>
    <row r="83" spans="1:14" x14ac:dyDescent="0.25">
      <c r="A83" s="7">
        <v>45877</v>
      </c>
      <c r="B83" s="10">
        <f t="shared" si="7"/>
        <v>3</v>
      </c>
      <c r="C83" s="8" t="s">
        <v>15</v>
      </c>
      <c r="D83" s="11">
        <f t="shared" si="8"/>
        <v>0.24999999999999911</v>
      </c>
      <c r="E83" s="8" t="s">
        <v>47</v>
      </c>
      <c r="F83" s="11">
        <f t="shared" si="5"/>
        <v>2.25</v>
      </c>
      <c r="G83" s="8" t="s">
        <v>28</v>
      </c>
      <c r="H83" s="11">
        <f t="shared" si="6"/>
        <v>0.16666666666666607</v>
      </c>
      <c r="J83" s="5">
        <v>0.86111111111111116</v>
      </c>
      <c r="K83" s="5">
        <v>0.87152777777777779</v>
      </c>
      <c r="L83" s="5">
        <v>0.96527777777777779</v>
      </c>
      <c r="M83" s="5">
        <v>0.97222222222222221</v>
      </c>
      <c r="N83" s="13">
        <v>1</v>
      </c>
    </row>
    <row r="84" spans="1:14" x14ac:dyDescent="0.25">
      <c r="A84" s="7">
        <v>45877</v>
      </c>
      <c r="B84" s="10">
        <f t="shared" si="7"/>
        <v>4</v>
      </c>
      <c r="C84" s="8" t="s">
        <v>16</v>
      </c>
      <c r="D84" s="11">
        <f t="shared" si="8"/>
        <v>0.24999999999999911</v>
      </c>
      <c r="E84" s="8"/>
      <c r="F84" s="11">
        <f t="shared" si="5"/>
        <v>1.416666666666667</v>
      </c>
      <c r="G84" s="8" t="s">
        <v>16</v>
      </c>
      <c r="H84" s="11">
        <f t="shared" si="6"/>
        <v>0.25000000000000178</v>
      </c>
      <c r="J84" s="5">
        <v>0.87847222222222221</v>
      </c>
      <c r="K84" s="5">
        <v>0.88888888888888884</v>
      </c>
      <c r="L84" s="5">
        <v>0.94791666666666663</v>
      </c>
      <c r="M84" s="5">
        <v>0.95833333333333337</v>
      </c>
      <c r="N84" s="13">
        <v>1</v>
      </c>
    </row>
    <row r="85" spans="1:14" x14ac:dyDescent="0.25">
      <c r="A85" s="7">
        <v>45877</v>
      </c>
      <c r="B85" s="10">
        <f t="shared" si="7"/>
        <v>5</v>
      </c>
      <c r="C85" s="8" t="s">
        <v>56</v>
      </c>
      <c r="D85" s="11">
        <f t="shared" si="8"/>
        <v>0.33333333333333481</v>
      </c>
      <c r="E85" s="8"/>
      <c r="F85" s="11" t="str">
        <f t="shared" si="5"/>
        <v/>
      </c>
      <c r="G85" s="8" t="s">
        <v>19</v>
      </c>
      <c r="H85" s="11" t="str">
        <f t="shared" si="6"/>
        <v/>
      </c>
      <c r="J85" s="5">
        <v>0.92013888888888884</v>
      </c>
      <c r="M85" s="5">
        <v>0.93402777777777779</v>
      </c>
      <c r="N85" s="13">
        <v>1</v>
      </c>
    </row>
    <row r="86" spans="1:14" x14ac:dyDescent="0.25">
      <c r="A86" s="7">
        <v>45877</v>
      </c>
      <c r="B86" s="10">
        <f t="shared" si="7"/>
        <v>6</v>
      </c>
      <c r="C86" s="8" t="s">
        <v>25</v>
      </c>
      <c r="D86" s="11">
        <f t="shared" si="8"/>
        <v>0.33333333333333481</v>
      </c>
      <c r="E86" s="8"/>
      <c r="F86" s="11" t="str">
        <f t="shared" si="5"/>
        <v/>
      </c>
      <c r="G86" s="8" t="s">
        <v>56</v>
      </c>
      <c r="H86" s="11" t="str">
        <f t="shared" si="6"/>
        <v/>
      </c>
      <c r="J86" s="5">
        <v>0.97222222222222221</v>
      </c>
      <c r="M86" s="5">
        <v>0.98611111111111116</v>
      </c>
      <c r="N86" s="13">
        <v>1</v>
      </c>
    </row>
    <row r="87" spans="1:14" x14ac:dyDescent="0.25">
      <c r="A87" s="7">
        <v>45878</v>
      </c>
      <c r="B87" s="10">
        <f t="shared" si="7"/>
        <v>1</v>
      </c>
      <c r="C87" s="8" t="s">
        <v>18</v>
      </c>
      <c r="D87" s="11">
        <f t="shared" si="8"/>
        <v>1.3666666666666671</v>
      </c>
      <c r="E87" s="8" t="s">
        <v>47</v>
      </c>
      <c r="F87" s="11" t="str">
        <f t="shared" si="5"/>
        <v>NA</v>
      </c>
      <c r="G87" s="8" t="s">
        <v>54</v>
      </c>
      <c r="H87" s="11" t="str">
        <f t="shared" si="6"/>
        <v/>
      </c>
      <c r="J87" s="5">
        <v>0.93194444444444446</v>
      </c>
      <c r="M87" s="5">
        <v>0.98888888888888893</v>
      </c>
      <c r="N87" s="13">
        <v>1</v>
      </c>
    </row>
    <row r="88" spans="1:14" x14ac:dyDescent="0.25">
      <c r="A88" s="7">
        <v>45878</v>
      </c>
      <c r="B88" s="10">
        <f t="shared" si="7"/>
        <v>2</v>
      </c>
      <c r="C88" s="8" t="s">
        <v>54</v>
      </c>
      <c r="D88" s="11">
        <f t="shared" si="8"/>
        <v>0.39999999999999858</v>
      </c>
      <c r="E88" s="8"/>
      <c r="F88" s="11" t="str">
        <f t="shared" si="5"/>
        <v/>
      </c>
      <c r="G88" s="8" t="s">
        <v>18</v>
      </c>
      <c r="H88" s="11" t="str">
        <f t="shared" si="6"/>
        <v/>
      </c>
      <c r="J88" s="5">
        <v>0.95763888888888893</v>
      </c>
      <c r="M88" s="5">
        <v>0.97430555555555554</v>
      </c>
      <c r="N88" s="13">
        <v>1</v>
      </c>
    </row>
    <row r="89" spans="1:14" x14ac:dyDescent="0.25">
      <c r="A89" s="7">
        <v>45881</v>
      </c>
      <c r="B89" s="10">
        <f t="shared" si="7"/>
        <v>1</v>
      </c>
      <c r="C89" s="8" t="s">
        <v>14</v>
      </c>
      <c r="D89" s="11">
        <f t="shared" si="8"/>
        <v>0.25000000000000178</v>
      </c>
      <c r="E89" s="8" t="s">
        <v>47</v>
      </c>
      <c r="F89" s="11" t="str">
        <f t="shared" si="5"/>
        <v>NA</v>
      </c>
      <c r="G89" s="8" t="s">
        <v>14</v>
      </c>
      <c r="H89" s="11" t="str">
        <f t="shared" si="6"/>
        <v/>
      </c>
      <c r="J89" s="5">
        <v>0.97569444444444442</v>
      </c>
      <c r="M89" s="5">
        <v>0.98611111111111116</v>
      </c>
      <c r="N89" s="13">
        <v>1</v>
      </c>
    </row>
    <row r="90" spans="1:14" x14ac:dyDescent="0.25">
      <c r="A90" s="7">
        <v>45881</v>
      </c>
      <c r="B90" s="10">
        <f t="shared" si="7"/>
        <v>2</v>
      </c>
      <c r="C90" s="8" t="s">
        <v>15</v>
      </c>
      <c r="D90" s="11">
        <f t="shared" si="8"/>
        <v>0.41666666666666519</v>
      </c>
      <c r="E90" s="8" t="s">
        <v>47</v>
      </c>
      <c r="F90" s="11" t="str">
        <f t="shared" si="5"/>
        <v>NA</v>
      </c>
      <c r="G90" s="8" t="s">
        <v>24</v>
      </c>
      <c r="H90" s="11" t="str">
        <f t="shared" si="6"/>
        <v/>
      </c>
      <c r="J90" s="5">
        <v>0.98958333333333337</v>
      </c>
      <c r="M90" s="5">
        <v>1.0069444444444444</v>
      </c>
      <c r="N90" s="13">
        <v>1</v>
      </c>
    </row>
    <row r="91" spans="1:14" x14ac:dyDescent="0.25">
      <c r="A91" s="7">
        <v>45881</v>
      </c>
      <c r="B91" s="10">
        <f t="shared" si="7"/>
        <v>3</v>
      </c>
      <c r="C91" s="8" t="s">
        <v>57</v>
      </c>
      <c r="D91" s="11">
        <f t="shared" si="8"/>
        <v>0.25000000000000178</v>
      </c>
      <c r="E91" s="8"/>
      <c r="F91" s="11" t="str">
        <f t="shared" si="5"/>
        <v/>
      </c>
      <c r="G91" s="8" t="s">
        <v>28</v>
      </c>
      <c r="H91" s="11" t="str">
        <f t="shared" si="6"/>
        <v/>
      </c>
      <c r="J91" s="5">
        <v>0.88194444444444442</v>
      </c>
      <c r="M91" s="5">
        <v>0.89236111111111116</v>
      </c>
      <c r="N91" s="13">
        <v>1</v>
      </c>
    </row>
    <row r="92" spans="1:14" x14ac:dyDescent="0.25">
      <c r="A92" s="7">
        <v>45881</v>
      </c>
      <c r="B92" s="10">
        <f t="shared" si="7"/>
        <v>4</v>
      </c>
      <c r="C92" s="8" t="s">
        <v>14</v>
      </c>
      <c r="D92" s="11">
        <f t="shared" si="8"/>
        <v>2.5166666666666657</v>
      </c>
      <c r="E92" s="8" t="s">
        <v>47</v>
      </c>
      <c r="F92" s="11" t="str">
        <f t="shared" si="5"/>
        <v>NA</v>
      </c>
      <c r="G92" s="8" t="s">
        <v>14</v>
      </c>
      <c r="H92" s="11" t="str">
        <f t="shared" si="6"/>
        <v/>
      </c>
      <c r="J92" s="5">
        <v>0.97569444444444442</v>
      </c>
      <c r="M92" s="5">
        <v>1.0805555555555555</v>
      </c>
      <c r="N92" s="13">
        <v>1</v>
      </c>
    </row>
    <row r="93" spans="1:14" x14ac:dyDescent="0.25">
      <c r="A93" s="7">
        <v>45881</v>
      </c>
      <c r="B93" s="10">
        <f t="shared" si="7"/>
        <v>5</v>
      </c>
      <c r="C93" s="8" t="s">
        <v>15</v>
      </c>
      <c r="D93" s="11">
        <f t="shared" si="8"/>
        <v>2.5500000000000016</v>
      </c>
      <c r="E93" s="8" t="s">
        <v>47</v>
      </c>
      <c r="F93" s="11" t="str">
        <f t="shared" si="5"/>
        <v>NA</v>
      </c>
      <c r="G93" s="8" t="s">
        <v>24</v>
      </c>
      <c r="H93" s="11" t="str">
        <f t="shared" si="6"/>
        <v/>
      </c>
      <c r="J93" s="5">
        <v>0.98958333333333337</v>
      </c>
      <c r="M93" s="5">
        <v>1.0958333333333334</v>
      </c>
      <c r="N93" s="13">
        <v>1</v>
      </c>
    </row>
    <row r="94" spans="1:14" x14ac:dyDescent="0.25">
      <c r="A94" s="7">
        <v>45881</v>
      </c>
      <c r="B94" s="10">
        <f t="shared" si="7"/>
        <v>6</v>
      </c>
      <c r="C94" s="8" t="s">
        <v>24</v>
      </c>
      <c r="D94" s="11">
        <f t="shared" si="8"/>
        <v>0.71666666666666679</v>
      </c>
      <c r="E94" s="8"/>
      <c r="F94" s="11" t="str">
        <f t="shared" si="5"/>
        <v/>
      </c>
      <c r="G94" s="8" t="s">
        <v>15</v>
      </c>
      <c r="H94" s="11" t="str">
        <f t="shared" si="6"/>
        <v/>
      </c>
      <c r="J94" s="5">
        <v>1.03125</v>
      </c>
      <c r="M94" s="5">
        <v>1.0611111111111111</v>
      </c>
      <c r="N94" s="13">
        <v>1</v>
      </c>
    </row>
    <row r="95" spans="1:14" x14ac:dyDescent="0.25">
      <c r="A95" s="7">
        <v>45996</v>
      </c>
      <c r="B95" s="10">
        <f t="shared" si="7"/>
        <v>1</v>
      </c>
      <c r="C95" s="8" t="s">
        <v>28</v>
      </c>
      <c r="D95" s="11">
        <f t="shared" si="8"/>
        <v>8.3333333333333037E-2</v>
      </c>
      <c r="E95" s="8" t="s">
        <v>47</v>
      </c>
      <c r="F95" s="11">
        <f t="shared" si="5"/>
        <v>4.2500000000000009</v>
      </c>
      <c r="G95" s="8" t="s">
        <v>26</v>
      </c>
      <c r="H95" s="11">
        <f t="shared" si="6"/>
        <v>0.16666666666666607</v>
      </c>
      <c r="J95" s="5">
        <v>0.69791666666666663</v>
      </c>
      <c r="K95" s="5">
        <v>0.70138888888888884</v>
      </c>
      <c r="L95" s="5">
        <v>0.87847222222222221</v>
      </c>
      <c r="M95" s="5">
        <v>0.88541666666666663</v>
      </c>
      <c r="N95" s="13">
        <v>1</v>
      </c>
    </row>
    <row r="96" spans="1:14" x14ac:dyDescent="0.25">
      <c r="A96" s="7">
        <v>45996</v>
      </c>
      <c r="B96" s="10">
        <f t="shared" si="7"/>
        <v>2</v>
      </c>
      <c r="C96" s="8" t="s">
        <v>27</v>
      </c>
      <c r="D96" s="11">
        <f t="shared" si="8"/>
        <v>-4.9166666666666679</v>
      </c>
      <c r="E96" s="8" t="s">
        <v>47</v>
      </c>
      <c r="F96" s="11">
        <f t="shared" si="5"/>
        <v>9.2500000000000018</v>
      </c>
      <c r="G96" s="8" t="s">
        <v>28</v>
      </c>
      <c r="H96" s="11">
        <f t="shared" si="6"/>
        <v>0.16666666666666607</v>
      </c>
      <c r="J96" s="5">
        <v>0.71875</v>
      </c>
      <c r="K96" s="5">
        <v>0.51388888888888884</v>
      </c>
      <c r="L96" s="5">
        <v>0.89930555555555558</v>
      </c>
      <c r="M96" s="5">
        <v>0.90625</v>
      </c>
      <c r="N96" s="13">
        <v>1</v>
      </c>
    </row>
    <row r="97" spans="1:14" x14ac:dyDescent="0.25">
      <c r="A97" s="7">
        <v>45996</v>
      </c>
      <c r="B97" s="10">
        <f t="shared" si="7"/>
        <v>3</v>
      </c>
      <c r="C97" s="8" t="s">
        <v>26</v>
      </c>
      <c r="D97" s="11">
        <f t="shared" si="8"/>
        <v>8.3333333333333037E-2</v>
      </c>
      <c r="E97" s="8" t="s">
        <v>47</v>
      </c>
      <c r="F97" s="11">
        <f t="shared" si="5"/>
        <v>3.75</v>
      </c>
      <c r="G97" s="8" t="s">
        <v>27</v>
      </c>
      <c r="H97" s="11">
        <f t="shared" si="6"/>
        <v>0.16666666666666874</v>
      </c>
      <c r="J97" s="5">
        <v>0.72916666666666663</v>
      </c>
      <c r="K97" s="5">
        <v>0.73263888888888884</v>
      </c>
      <c r="L97" s="5">
        <v>0.88888888888888884</v>
      </c>
      <c r="M97" s="5">
        <v>0.89583333333333337</v>
      </c>
      <c r="N97" s="13">
        <v>1</v>
      </c>
    </row>
    <row r="98" spans="1:14" x14ac:dyDescent="0.25">
      <c r="A98" s="7">
        <v>45998</v>
      </c>
      <c r="B98" s="10">
        <f t="shared" si="7"/>
        <v>1</v>
      </c>
      <c r="C98" s="8" t="s">
        <v>57</v>
      </c>
      <c r="D98" s="11">
        <f t="shared" si="8"/>
        <v>0.33333333333333215</v>
      </c>
      <c r="E98" s="8"/>
      <c r="F98" s="11" t="str">
        <f t="shared" si="5"/>
        <v/>
      </c>
      <c r="G98" s="8" t="s">
        <v>14</v>
      </c>
      <c r="H98" s="11" t="str">
        <f t="shared" si="6"/>
        <v/>
      </c>
      <c r="J98" s="5">
        <v>0.68402777777777779</v>
      </c>
      <c r="M98" s="5">
        <v>0.69791666666666663</v>
      </c>
      <c r="N98" s="13">
        <v>1</v>
      </c>
    </row>
    <row r="99" spans="1:14" x14ac:dyDescent="0.25">
      <c r="A99" s="7">
        <v>45998</v>
      </c>
      <c r="B99" s="10">
        <f t="shared" si="7"/>
        <v>2</v>
      </c>
      <c r="C99" s="8" t="s">
        <v>6</v>
      </c>
      <c r="D99" s="11">
        <f t="shared" si="8"/>
        <v>0.16666666666666874</v>
      </c>
      <c r="E99" s="8"/>
      <c r="F99" s="11" t="str">
        <f t="shared" si="5"/>
        <v/>
      </c>
      <c r="G99" s="8" t="s">
        <v>10</v>
      </c>
      <c r="H99" s="11" t="str">
        <f t="shared" si="6"/>
        <v/>
      </c>
      <c r="J99" s="5">
        <v>0.72916666666666663</v>
      </c>
      <c r="M99" s="5">
        <v>0.73611111111111116</v>
      </c>
      <c r="N99" s="13">
        <v>1</v>
      </c>
    </row>
    <row r="100" spans="1:14" x14ac:dyDescent="0.25">
      <c r="A100" s="7">
        <v>45999</v>
      </c>
      <c r="B100" s="10">
        <f t="shared" si="7"/>
        <v>1</v>
      </c>
      <c r="C100" s="8" t="s">
        <v>28</v>
      </c>
      <c r="D100" s="11">
        <f t="shared" si="8"/>
        <v>6.7</v>
      </c>
      <c r="E100" s="8" t="s">
        <v>47</v>
      </c>
      <c r="F100" s="11" t="str">
        <f t="shared" si="5"/>
        <v>NA</v>
      </c>
      <c r="G100" s="8" t="s">
        <v>28</v>
      </c>
      <c r="H100" s="11" t="str">
        <f t="shared" si="6"/>
        <v/>
      </c>
      <c r="J100" s="5">
        <v>0.69930555555555551</v>
      </c>
      <c r="M100" s="5">
        <v>0.97847222222222219</v>
      </c>
      <c r="N100" s="13">
        <v>1</v>
      </c>
    </row>
    <row r="101" spans="1:14" x14ac:dyDescent="0.25">
      <c r="A101" s="7">
        <v>45999</v>
      </c>
      <c r="B101" s="10">
        <f t="shared" si="7"/>
        <v>2</v>
      </c>
      <c r="C101" s="8" t="s">
        <v>27</v>
      </c>
      <c r="D101" s="11">
        <f t="shared" si="8"/>
        <v>4.033333333333335</v>
      </c>
      <c r="E101" s="8" t="s">
        <v>47</v>
      </c>
      <c r="F101" s="11" t="str">
        <f t="shared" si="5"/>
        <v>NA</v>
      </c>
      <c r="G101" s="8" t="s">
        <v>27</v>
      </c>
      <c r="H101" s="11" t="str">
        <f t="shared" si="6"/>
        <v/>
      </c>
      <c r="J101" s="5">
        <v>0.7895833333333333</v>
      </c>
      <c r="M101" s="5">
        <v>0.95763888888888893</v>
      </c>
      <c r="N101" s="13">
        <v>1</v>
      </c>
    </row>
    <row r="102" spans="1:14" x14ac:dyDescent="0.25">
      <c r="A102" s="7">
        <v>45999</v>
      </c>
      <c r="B102" s="10">
        <f t="shared" si="7"/>
        <v>3</v>
      </c>
      <c r="C102" s="8" t="s">
        <v>26</v>
      </c>
      <c r="D102" s="11">
        <f t="shared" si="8"/>
        <v>3.1166666666666663</v>
      </c>
      <c r="E102" s="8" t="s">
        <v>47</v>
      </c>
      <c r="F102" s="11" t="str">
        <f t="shared" si="5"/>
        <v>NA</v>
      </c>
      <c r="G102" s="8" t="s">
        <v>20</v>
      </c>
      <c r="H102" s="11" t="str">
        <f t="shared" si="6"/>
        <v/>
      </c>
      <c r="J102" s="5">
        <v>0.81111111111111112</v>
      </c>
      <c r="M102" s="5">
        <v>0.94097222222222221</v>
      </c>
      <c r="N102" s="13">
        <v>1</v>
      </c>
    </row>
    <row r="103" spans="1:14" x14ac:dyDescent="0.25">
      <c r="A103" s="7">
        <v>45999</v>
      </c>
      <c r="B103" s="10">
        <f t="shared" si="7"/>
        <v>4</v>
      </c>
      <c r="C103" s="8" t="s">
        <v>20</v>
      </c>
      <c r="D103" s="11">
        <f t="shared" si="8"/>
        <v>0.3000000000000016</v>
      </c>
      <c r="E103" s="8"/>
      <c r="F103" s="11" t="str">
        <f t="shared" si="5"/>
        <v/>
      </c>
      <c r="G103" s="8" t="s">
        <v>26</v>
      </c>
      <c r="H103" s="11" t="str">
        <f t="shared" si="6"/>
        <v/>
      </c>
      <c r="J103" s="5">
        <v>0.91180555555555554</v>
      </c>
      <c r="M103" s="5">
        <v>0.9243055555555556</v>
      </c>
      <c r="N103" s="13">
        <v>1</v>
      </c>
    </row>
    <row r="104" spans="1:14" x14ac:dyDescent="0.25">
      <c r="A104" s="7">
        <v>45999</v>
      </c>
      <c r="B104" s="10">
        <f t="shared" si="7"/>
        <v>5</v>
      </c>
      <c r="C104" s="8" t="s">
        <v>3</v>
      </c>
      <c r="D104" s="11">
        <f t="shared" si="8"/>
        <v>8.3333333333333037E-2</v>
      </c>
      <c r="E104" s="8"/>
      <c r="F104" s="11" t="str">
        <f t="shared" si="5"/>
        <v/>
      </c>
      <c r="G104" s="8" t="s">
        <v>21</v>
      </c>
      <c r="H104" s="11" t="str">
        <f t="shared" si="6"/>
        <v/>
      </c>
      <c r="J104" s="5">
        <v>0.17708333333333334</v>
      </c>
      <c r="M104" s="5">
        <v>0.18055555555555555</v>
      </c>
      <c r="N104" s="13">
        <v>1</v>
      </c>
    </row>
    <row r="105" spans="1:14" x14ac:dyDescent="0.25">
      <c r="A105" s="7">
        <v>45999</v>
      </c>
      <c r="B105" s="10">
        <f t="shared" si="7"/>
        <v>6</v>
      </c>
      <c r="C105" s="8" t="s">
        <v>14</v>
      </c>
      <c r="D105" s="11">
        <f t="shared" si="8"/>
        <v>2.8333333333333335</v>
      </c>
      <c r="E105" s="8" t="s">
        <v>47</v>
      </c>
      <c r="F105" s="11" t="str">
        <f t="shared" si="5"/>
        <v>NA</v>
      </c>
      <c r="G105" s="8" t="s">
        <v>13</v>
      </c>
      <c r="H105" s="11" t="str">
        <f t="shared" si="6"/>
        <v/>
      </c>
      <c r="J105" s="5">
        <v>2.0833333333333332E-2</v>
      </c>
      <c r="M105" s="5">
        <v>0.1388888888888889</v>
      </c>
      <c r="N105" s="13">
        <v>1</v>
      </c>
    </row>
    <row r="106" spans="1:14" x14ac:dyDescent="0.25">
      <c r="A106" s="7">
        <v>45999</v>
      </c>
      <c r="B106" s="10">
        <f t="shared" si="7"/>
        <v>7</v>
      </c>
      <c r="C106" s="8" t="s">
        <v>15</v>
      </c>
      <c r="D106" s="11">
        <f t="shared" si="8"/>
        <v>1.083333333333333</v>
      </c>
      <c r="E106" s="8" t="s">
        <v>47</v>
      </c>
      <c r="F106" s="11" t="str">
        <f t="shared" si="5"/>
        <v>NA</v>
      </c>
      <c r="G106" s="8" t="s">
        <v>14</v>
      </c>
      <c r="H106" s="11" t="str">
        <f t="shared" si="6"/>
        <v/>
      </c>
      <c r="J106" s="5">
        <v>7.6388888888888895E-2</v>
      </c>
      <c r="M106" s="5">
        <v>0.12152777777777778</v>
      </c>
      <c r="N106" s="13">
        <v>1</v>
      </c>
    </row>
    <row r="107" spans="1:14" x14ac:dyDescent="0.25">
      <c r="A107" s="7">
        <v>45999</v>
      </c>
      <c r="B107" s="10">
        <f t="shared" si="7"/>
        <v>8</v>
      </c>
      <c r="C107" s="8" t="s">
        <v>16</v>
      </c>
      <c r="D107" s="11">
        <f t="shared" si="8"/>
        <v>0.28333333333333333</v>
      </c>
      <c r="E107" s="8"/>
      <c r="F107" s="11" t="str">
        <f t="shared" si="5"/>
        <v/>
      </c>
      <c r="G107" s="8" t="s">
        <v>10</v>
      </c>
      <c r="H107" s="11" t="str">
        <f t="shared" si="6"/>
        <v/>
      </c>
      <c r="J107" s="5">
        <v>9.7222222222222224E-2</v>
      </c>
      <c r="M107" s="5">
        <v>0.10902777777777778</v>
      </c>
      <c r="N107" s="13">
        <v>1</v>
      </c>
    </row>
    <row r="108" spans="1:14" x14ac:dyDescent="0.25">
      <c r="A108" s="7">
        <v>46000</v>
      </c>
      <c r="B108" s="10">
        <f t="shared" si="7"/>
        <v>1</v>
      </c>
      <c r="C108" s="8" t="s">
        <v>13</v>
      </c>
      <c r="D108" s="11">
        <f t="shared" si="8"/>
        <v>0.28333333333333499</v>
      </c>
      <c r="E108" s="8"/>
      <c r="F108" s="11" t="str">
        <f t="shared" si="5"/>
        <v/>
      </c>
      <c r="G108" s="8" t="s">
        <v>21</v>
      </c>
      <c r="H108" s="11" t="str">
        <f t="shared" si="6"/>
        <v/>
      </c>
      <c r="J108" s="5">
        <v>0.66319444444444442</v>
      </c>
      <c r="M108" s="5">
        <v>0.67500000000000004</v>
      </c>
      <c r="N108" s="13">
        <v>1</v>
      </c>
    </row>
    <row r="109" spans="1:14" x14ac:dyDescent="0.25">
      <c r="A109" s="7">
        <v>46000</v>
      </c>
      <c r="B109" s="10">
        <f t="shared" si="7"/>
        <v>2</v>
      </c>
      <c r="C109" s="8" t="s">
        <v>24</v>
      </c>
      <c r="D109" s="11">
        <f t="shared" si="8"/>
        <v>1.5833333333333335</v>
      </c>
      <c r="E109" s="8" t="s">
        <v>47</v>
      </c>
      <c r="F109" s="11" t="str">
        <f t="shared" si="5"/>
        <v>NA</v>
      </c>
      <c r="G109" s="8" t="s">
        <v>24</v>
      </c>
      <c r="H109" s="11" t="str">
        <f t="shared" si="6"/>
        <v/>
      </c>
      <c r="J109" s="5">
        <v>5.9027777777777776E-2</v>
      </c>
      <c r="M109" s="5">
        <v>0.125</v>
      </c>
      <c r="N109" s="13">
        <v>1</v>
      </c>
    </row>
    <row r="110" spans="1:14" x14ac:dyDescent="0.25">
      <c r="A110" s="7">
        <v>46000</v>
      </c>
      <c r="B110" s="10">
        <f t="shared" si="7"/>
        <v>3</v>
      </c>
      <c r="C110" s="8" t="s">
        <v>14</v>
      </c>
      <c r="D110" s="11">
        <f t="shared" si="8"/>
        <v>0.31666666666666554</v>
      </c>
      <c r="E110" s="8"/>
      <c r="F110" s="11" t="str">
        <f t="shared" si="5"/>
        <v/>
      </c>
      <c r="G110" s="8" t="s">
        <v>28</v>
      </c>
      <c r="H110" s="11" t="str">
        <f t="shared" si="6"/>
        <v/>
      </c>
      <c r="J110" s="5">
        <v>0.72013888888888888</v>
      </c>
      <c r="K110" s="5"/>
      <c r="M110" s="5">
        <v>0.73333333333333328</v>
      </c>
      <c r="N110" s="13">
        <v>1</v>
      </c>
    </row>
    <row r="111" spans="1:14" x14ac:dyDescent="0.25">
      <c r="A111" s="7">
        <v>46000</v>
      </c>
      <c r="B111" s="10">
        <f t="shared" si="7"/>
        <v>4</v>
      </c>
      <c r="C111" s="8" t="s">
        <v>28</v>
      </c>
      <c r="D111" s="11">
        <f t="shared" si="8"/>
        <v>0.13333333333333552</v>
      </c>
      <c r="E111" s="8" t="s">
        <v>47</v>
      </c>
      <c r="F111" s="11">
        <f t="shared" si="5"/>
        <v>9.6999999999999993</v>
      </c>
      <c r="G111" s="8" t="s">
        <v>25</v>
      </c>
      <c r="H111" s="11">
        <f t="shared" si="6"/>
        <v>0.33333333333333215</v>
      </c>
      <c r="J111" s="5">
        <v>0.70138888888888884</v>
      </c>
      <c r="K111" s="5">
        <v>0.70694444444444449</v>
      </c>
      <c r="L111" s="5">
        <v>1.1111111111111112</v>
      </c>
      <c r="M111" s="5">
        <v>1.125</v>
      </c>
      <c r="N111" s="13">
        <v>1</v>
      </c>
    </row>
    <row r="112" spans="1:14" x14ac:dyDescent="0.25">
      <c r="A112" s="7">
        <v>46000</v>
      </c>
      <c r="B112" s="10">
        <f t="shared" si="7"/>
        <v>5</v>
      </c>
      <c r="C112" s="8" t="s">
        <v>19</v>
      </c>
      <c r="D112" s="11">
        <f t="shared" si="8"/>
        <v>-10.716666666666665</v>
      </c>
      <c r="E112" s="8"/>
      <c r="F112" s="11" t="str">
        <f t="shared" si="5"/>
        <v/>
      </c>
      <c r="G112" s="8" t="s">
        <v>10</v>
      </c>
      <c r="H112" s="11" t="str">
        <f t="shared" si="6"/>
        <v/>
      </c>
      <c r="J112" s="5">
        <v>0.98263888888888884</v>
      </c>
      <c r="M112" s="5">
        <v>0.53611111111111109</v>
      </c>
      <c r="N112" s="13">
        <v>1</v>
      </c>
    </row>
    <row r="113" spans="1:14" x14ac:dyDescent="0.25">
      <c r="A113" s="7">
        <v>46000</v>
      </c>
      <c r="B113" s="10">
        <f t="shared" si="7"/>
        <v>6</v>
      </c>
      <c r="C113" s="8" t="s">
        <v>25</v>
      </c>
      <c r="D113" s="11">
        <f t="shared" si="8"/>
        <v>0.50000000000000022</v>
      </c>
      <c r="E113" s="8"/>
      <c r="F113" s="11" t="str">
        <f t="shared" si="5"/>
        <v/>
      </c>
      <c r="G113" s="8" t="s">
        <v>19</v>
      </c>
      <c r="H113" s="11" t="str">
        <f t="shared" si="6"/>
        <v/>
      </c>
      <c r="J113" s="5">
        <v>7.9861111111111105E-2</v>
      </c>
      <c r="M113" s="5">
        <v>0.10069444444444445</v>
      </c>
      <c r="N113" s="13">
        <v>1</v>
      </c>
    </row>
    <row r="114" spans="1:14" x14ac:dyDescent="0.25">
      <c r="A114" s="7">
        <v>46000</v>
      </c>
      <c r="B114" s="10">
        <f t="shared" si="7"/>
        <v>7</v>
      </c>
      <c r="C114" s="8" t="s">
        <v>10</v>
      </c>
      <c r="D114" s="11">
        <f t="shared" si="8"/>
        <v>0.24999999999999911</v>
      </c>
      <c r="E114" s="8"/>
      <c r="F114" s="11" t="str">
        <f t="shared" si="5"/>
        <v/>
      </c>
      <c r="G114" s="8" t="s">
        <v>3</v>
      </c>
      <c r="H114" s="11" t="str">
        <f t="shared" si="6"/>
        <v/>
      </c>
      <c r="J114" s="5">
        <v>0.95486111111111116</v>
      </c>
      <c r="M114" s="5">
        <v>0.96527777777777779</v>
      </c>
      <c r="N114" s="13">
        <v>1</v>
      </c>
    </row>
    <row r="115" spans="1:14" x14ac:dyDescent="0.25">
      <c r="A115" s="7">
        <v>46001</v>
      </c>
      <c r="B115" s="10">
        <f t="shared" si="7"/>
        <v>1</v>
      </c>
      <c r="C115" s="8" t="s">
        <v>28</v>
      </c>
      <c r="D115" s="11">
        <f t="shared" si="8"/>
        <v>0.33333333333333215</v>
      </c>
      <c r="E115" s="8"/>
      <c r="F115" s="11" t="str">
        <f t="shared" si="5"/>
        <v/>
      </c>
      <c r="G115" s="8" t="s">
        <v>15</v>
      </c>
      <c r="H115" s="11" t="str">
        <f t="shared" si="6"/>
        <v/>
      </c>
      <c r="J115" s="5">
        <v>0.68402777777777779</v>
      </c>
      <c r="M115" s="5">
        <v>0.69791666666666663</v>
      </c>
      <c r="N115" s="13">
        <v>1</v>
      </c>
    </row>
    <row r="116" spans="1:14" x14ac:dyDescent="0.25">
      <c r="A116" s="7">
        <v>46002</v>
      </c>
      <c r="B116" s="10">
        <f t="shared" si="7"/>
        <v>1</v>
      </c>
      <c r="C116" s="8" t="s">
        <v>27</v>
      </c>
      <c r="D116" s="11">
        <f t="shared" si="8"/>
        <v>0.18333333333333268</v>
      </c>
      <c r="E116" s="8" t="s">
        <v>47</v>
      </c>
      <c r="F116" s="11">
        <f t="shared" si="5"/>
        <v>7.4</v>
      </c>
      <c r="G116" s="8" t="s">
        <v>28</v>
      </c>
      <c r="H116" s="11">
        <f t="shared" si="6"/>
        <v>0.16666666666666607</v>
      </c>
      <c r="J116" s="5">
        <v>0.65972222222222221</v>
      </c>
      <c r="K116" s="5">
        <v>0.66736111111111107</v>
      </c>
      <c r="L116" s="5">
        <v>0.97569444444444442</v>
      </c>
      <c r="M116" s="5">
        <v>0.98263888888888884</v>
      </c>
      <c r="N116" s="13">
        <v>1</v>
      </c>
    </row>
    <row r="117" spans="1:14" x14ac:dyDescent="0.25">
      <c r="A117" s="7">
        <v>46002</v>
      </c>
      <c r="B117" s="10">
        <f t="shared" si="7"/>
        <v>2</v>
      </c>
      <c r="C117" s="8" t="s">
        <v>26</v>
      </c>
      <c r="D117" s="11">
        <f t="shared" si="8"/>
        <v>0.16666666666666607</v>
      </c>
      <c r="E117" s="8" t="s">
        <v>47</v>
      </c>
      <c r="F117" s="11">
        <f t="shared" si="5"/>
        <v>6.9999999999999991</v>
      </c>
      <c r="G117" s="8" t="s">
        <v>27</v>
      </c>
      <c r="H117" s="11">
        <f t="shared" si="6"/>
        <v>0.16666666666666607</v>
      </c>
      <c r="J117" s="5">
        <v>0.67708333333333337</v>
      </c>
      <c r="K117" s="5">
        <v>0.68402777777777779</v>
      </c>
      <c r="L117" s="5">
        <v>0.97569444444444442</v>
      </c>
      <c r="M117" s="5">
        <v>0.98263888888888884</v>
      </c>
      <c r="N117" s="13">
        <v>1</v>
      </c>
    </row>
    <row r="118" spans="1:14" x14ac:dyDescent="0.25">
      <c r="A118" s="7">
        <v>46002</v>
      </c>
      <c r="B118" s="10">
        <f t="shared" si="7"/>
        <v>3</v>
      </c>
      <c r="C118" s="8" t="s">
        <v>57</v>
      </c>
      <c r="D118" s="11">
        <f t="shared" si="8"/>
        <v>8.3333333333333037E-2</v>
      </c>
      <c r="E118" s="8" t="s">
        <v>47</v>
      </c>
      <c r="F118" s="11">
        <f t="shared" si="5"/>
        <v>1.0833333333333321</v>
      </c>
      <c r="G118" s="8" t="s">
        <v>26</v>
      </c>
      <c r="H118" s="11">
        <f t="shared" si="6"/>
        <v>0.16666666666666607</v>
      </c>
      <c r="J118" s="5">
        <v>0.89236111111111116</v>
      </c>
      <c r="K118" s="5">
        <v>0.89583333333333337</v>
      </c>
      <c r="L118" s="5">
        <v>0.94097222222222221</v>
      </c>
      <c r="M118" s="5">
        <v>0.94791666666666663</v>
      </c>
      <c r="N118" s="13">
        <v>1</v>
      </c>
    </row>
    <row r="119" spans="1:14" x14ac:dyDescent="0.25">
      <c r="A119" s="7">
        <v>46003</v>
      </c>
      <c r="B119" s="10">
        <f t="shared" si="7"/>
        <v>1</v>
      </c>
      <c r="C119" s="8" t="s">
        <v>15</v>
      </c>
      <c r="D119" s="11">
        <f t="shared" si="8"/>
        <v>8.3333333333333037E-2</v>
      </c>
      <c r="E119" s="8" t="s">
        <v>47</v>
      </c>
      <c r="F119" s="11">
        <f t="shared" si="5"/>
        <v>8.4499999999999993</v>
      </c>
      <c r="G119" s="8" t="s">
        <v>15</v>
      </c>
      <c r="H119" s="11">
        <f t="shared" si="6"/>
        <v>6.666666666666643E-2</v>
      </c>
      <c r="J119" s="5">
        <v>0.64444444444444449</v>
      </c>
      <c r="K119" s="5">
        <v>0.6479166666666667</v>
      </c>
      <c r="L119" s="5">
        <v>1</v>
      </c>
      <c r="M119" s="5">
        <v>1.0027777777777778</v>
      </c>
      <c r="N119" s="13">
        <v>1</v>
      </c>
    </row>
    <row r="120" spans="1:14" x14ac:dyDescent="0.25">
      <c r="A120" s="7">
        <v>46003</v>
      </c>
      <c r="B120" s="10">
        <f t="shared" si="7"/>
        <v>2</v>
      </c>
      <c r="C120" s="8" t="s">
        <v>28</v>
      </c>
      <c r="D120" s="11">
        <f t="shared" si="8"/>
        <v>0.13333333333333286</v>
      </c>
      <c r="E120" s="8" t="s">
        <v>47</v>
      </c>
      <c r="F120" s="11">
        <f t="shared" si="5"/>
        <v>5.166666666666667</v>
      </c>
      <c r="G120" s="8" t="s">
        <v>18</v>
      </c>
      <c r="H120" s="11">
        <f t="shared" si="6"/>
        <v>0.43333333333333179</v>
      </c>
      <c r="J120" s="5">
        <v>0.74097222222222225</v>
      </c>
      <c r="K120" s="5">
        <v>0.74652777777777779</v>
      </c>
      <c r="L120" s="5">
        <v>0.96180555555555558</v>
      </c>
      <c r="M120" s="5">
        <v>0.97986111111111107</v>
      </c>
      <c r="N120" s="13">
        <v>1</v>
      </c>
    </row>
    <row r="121" spans="1:14" x14ac:dyDescent="0.25">
      <c r="A121" s="7">
        <v>46003</v>
      </c>
      <c r="B121" s="10">
        <f t="shared" si="7"/>
        <v>3</v>
      </c>
      <c r="C121" s="8" t="s">
        <v>27</v>
      </c>
      <c r="D121" s="11">
        <f t="shared" si="8"/>
        <v>0.13333333333333286</v>
      </c>
      <c r="E121" s="8"/>
      <c r="F121" s="11" t="str">
        <f t="shared" si="5"/>
        <v/>
      </c>
      <c r="G121" s="8" t="s">
        <v>28</v>
      </c>
      <c r="H121" s="11" t="str">
        <f t="shared" si="6"/>
        <v/>
      </c>
      <c r="J121" s="5">
        <v>0.75972222222222219</v>
      </c>
      <c r="K121" s="5"/>
      <c r="L121" s="5">
        <v>0.81736111111111109</v>
      </c>
      <c r="M121" s="5">
        <v>0.76527777777777772</v>
      </c>
      <c r="N121" s="13">
        <v>1</v>
      </c>
    </row>
    <row r="122" spans="1:14" x14ac:dyDescent="0.25">
      <c r="A122" s="7">
        <v>46003</v>
      </c>
      <c r="B122" s="10">
        <f t="shared" si="7"/>
        <v>4</v>
      </c>
      <c r="C122" s="8" t="s">
        <v>10</v>
      </c>
      <c r="D122" s="11">
        <f t="shared" si="8"/>
        <v>0.16666666666666607</v>
      </c>
      <c r="E122" s="8" t="s">
        <v>47</v>
      </c>
      <c r="F122" s="11">
        <f t="shared" si="5"/>
        <v>3.8833333333333355</v>
      </c>
      <c r="G122" s="8" t="s">
        <v>14</v>
      </c>
      <c r="H122" s="11">
        <f t="shared" si="6"/>
        <v>0.18333333333333268</v>
      </c>
      <c r="J122" s="5">
        <v>0.81736111111111109</v>
      </c>
      <c r="K122" s="5">
        <v>0.82430555555555551</v>
      </c>
      <c r="L122" s="5">
        <v>0.98611111111111116</v>
      </c>
      <c r="M122" s="5">
        <v>0.99375000000000002</v>
      </c>
      <c r="N122" s="13">
        <v>1</v>
      </c>
    </row>
    <row r="123" spans="1:14" x14ac:dyDescent="0.25">
      <c r="A123" s="7">
        <v>46003</v>
      </c>
      <c r="B123" s="10">
        <f t="shared" si="7"/>
        <v>5</v>
      </c>
      <c r="C123" s="8" t="s">
        <v>18</v>
      </c>
      <c r="D123" s="11">
        <f t="shared" si="8"/>
        <v>0.50000000000000089</v>
      </c>
      <c r="E123" s="8" t="s">
        <v>47</v>
      </c>
      <c r="F123" s="11">
        <f t="shared" si="5"/>
        <v>1.1833333333333345</v>
      </c>
      <c r="G123" s="8" t="s">
        <v>13</v>
      </c>
      <c r="H123" s="11">
        <f t="shared" si="6"/>
        <v>0.1499999999999968</v>
      </c>
      <c r="J123" s="5">
        <v>0.94027777777777777</v>
      </c>
      <c r="K123" s="5">
        <v>0.96111111111111114</v>
      </c>
      <c r="L123" s="5">
        <v>1.0104166666666667</v>
      </c>
      <c r="M123" s="5">
        <v>1.0166666666666666</v>
      </c>
      <c r="N123" s="13">
        <v>1</v>
      </c>
    </row>
    <row r="124" spans="1:14" x14ac:dyDescent="0.25">
      <c r="A124" s="7">
        <v>46004</v>
      </c>
      <c r="B124" s="10">
        <f t="shared" si="7"/>
        <v>1</v>
      </c>
      <c r="C124" s="8" t="s">
        <v>13</v>
      </c>
      <c r="D124" s="11">
        <f t="shared" si="8"/>
        <v>2.7833333333333341</v>
      </c>
      <c r="E124" s="8" t="s">
        <v>47</v>
      </c>
      <c r="F124" s="11" t="str">
        <f t="shared" si="5"/>
        <v>NA</v>
      </c>
      <c r="G124" s="8" t="s">
        <v>13</v>
      </c>
      <c r="H124" s="11" t="str">
        <f t="shared" si="6"/>
        <v/>
      </c>
      <c r="J124" s="5">
        <v>0.84236111111111112</v>
      </c>
      <c r="M124" s="5">
        <v>0.95833333333333337</v>
      </c>
      <c r="N124" s="13">
        <v>1</v>
      </c>
    </row>
    <row r="125" spans="1:14" x14ac:dyDescent="0.25">
      <c r="A125" s="7">
        <v>46004</v>
      </c>
      <c r="B125" s="10">
        <f t="shared" si="7"/>
        <v>2</v>
      </c>
      <c r="C125" s="8" t="s">
        <v>28</v>
      </c>
      <c r="D125" s="11">
        <f t="shared" si="8"/>
        <v>0.33333333333333481</v>
      </c>
      <c r="E125" s="8"/>
      <c r="F125" s="11" t="str">
        <f t="shared" si="5"/>
        <v/>
      </c>
      <c r="G125" s="8" t="s">
        <v>27</v>
      </c>
      <c r="H125" s="11" t="str">
        <f t="shared" si="6"/>
        <v/>
      </c>
      <c r="J125" s="5">
        <v>0.91180555555555554</v>
      </c>
      <c r="K125" s="5"/>
      <c r="M125" s="5">
        <v>0.92569444444444449</v>
      </c>
      <c r="N125" s="13">
        <v>1</v>
      </c>
    </row>
    <row r="126" spans="1:14" x14ac:dyDescent="0.25">
      <c r="A126" s="7">
        <v>46004</v>
      </c>
      <c r="B126" s="10">
        <f t="shared" si="7"/>
        <v>3</v>
      </c>
      <c r="C126" s="8" t="s">
        <v>21</v>
      </c>
      <c r="D126" s="11">
        <f t="shared" si="8"/>
        <v>0.36666666666666803</v>
      </c>
      <c r="E126" s="8"/>
      <c r="F126" s="11" t="str">
        <f t="shared" si="5"/>
        <v/>
      </c>
      <c r="G126" s="8" t="s">
        <v>28</v>
      </c>
      <c r="H126" s="11" t="str">
        <f t="shared" si="6"/>
        <v/>
      </c>
      <c r="J126" s="5">
        <v>0.98124999999999996</v>
      </c>
      <c r="M126" s="5">
        <v>0.99652777777777779</v>
      </c>
      <c r="N126" s="13">
        <v>1</v>
      </c>
    </row>
    <row r="127" spans="1:14" x14ac:dyDescent="0.25">
      <c r="A127" s="7">
        <v>46004</v>
      </c>
      <c r="B127" s="10">
        <f t="shared" si="7"/>
        <v>4</v>
      </c>
      <c r="C127" s="8" t="s">
        <v>57</v>
      </c>
      <c r="D127" s="11">
        <f t="shared" si="8"/>
        <v>5.5499999999999989</v>
      </c>
      <c r="E127" s="8" t="s">
        <v>47</v>
      </c>
      <c r="F127" s="11" t="str">
        <f t="shared" si="5"/>
        <v>NA</v>
      </c>
      <c r="G127" s="8" t="s">
        <v>57</v>
      </c>
      <c r="H127" s="11" t="str">
        <f t="shared" si="6"/>
        <v/>
      </c>
      <c r="J127" s="5">
        <v>0.65277777777777779</v>
      </c>
      <c r="M127" s="5">
        <v>0.88402777777777775</v>
      </c>
      <c r="N127" s="13">
        <v>1</v>
      </c>
    </row>
    <row r="128" spans="1:14" x14ac:dyDescent="0.25">
      <c r="A128" s="7">
        <v>46004</v>
      </c>
      <c r="B128" s="10">
        <f t="shared" si="7"/>
        <v>5</v>
      </c>
      <c r="C128" s="8" t="s">
        <v>20</v>
      </c>
      <c r="D128" s="11">
        <f t="shared" si="8"/>
        <v>4.1333333333333346</v>
      </c>
      <c r="E128" s="8" t="s">
        <v>47</v>
      </c>
      <c r="F128" s="11" t="str">
        <f t="shared" si="5"/>
        <v>NA</v>
      </c>
      <c r="G128" s="8" t="s">
        <v>20</v>
      </c>
      <c r="H128" s="11" t="str">
        <f t="shared" si="6"/>
        <v/>
      </c>
      <c r="J128" s="5">
        <v>0.69791666666666663</v>
      </c>
      <c r="M128" s="5">
        <v>0.87013888888888891</v>
      </c>
      <c r="N128" s="13">
        <v>1</v>
      </c>
    </row>
    <row r="129" spans="1:14" x14ac:dyDescent="0.25">
      <c r="A129" s="7">
        <v>46005</v>
      </c>
      <c r="B129" s="10">
        <f t="shared" si="7"/>
        <v>1</v>
      </c>
      <c r="C129" s="8" t="s">
        <v>2</v>
      </c>
      <c r="D129" s="11">
        <f t="shared" si="8"/>
        <v>0.16666666666666607</v>
      </c>
      <c r="E129" s="8"/>
      <c r="F129" s="11" t="str">
        <f t="shared" si="5"/>
        <v/>
      </c>
      <c r="G129" s="8" t="s">
        <v>21</v>
      </c>
      <c r="H129" s="11" t="str">
        <f t="shared" si="6"/>
        <v/>
      </c>
      <c r="J129" s="5">
        <v>0.71180555555555558</v>
      </c>
      <c r="M129" s="5">
        <v>0.71875</v>
      </c>
      <c r="N129" s="13">
        <v>1</v>
      </c>
    </row>
    <row r="130" spans="1:14" x14ac:dyDescent="0.25">
      <c r="A130" s="7">
        <v>46005</v>
      </c>
      <c r="B130" s="10">
        <f t="shared" si="7"/>
        <v>2</v>
      </c>
      <c r="C130" s="8" t="s">
        <v>13</v>
      </c>
      <c r="D130" s="11">
        <f t="shared" si="8"/>
        <v>2.7500000000000009</v>
      </c>
      <c r="E130" s="8" t="s">
        <v>47</v>
      </c>
      <c r="F130" s="11" t="str">
        <f t="shared" ref="F130:F193" si="9">IF(K130&lt;&gt;"",IF(K130&gt;L130,(N130-K130+L130)*24,(L130-K130)*24),IF(E130="Y","NA",""))</f>
        <v>NA</v>
      </c>
      <c r="G130" s="8" t="s">
        <v>13</v>
      </c>
      <c r="H130" s="11" t="str">
        <f t="shared" ref="H130:H193" si="10">IF(K130&lt;&gt;0,(M130-L130)*24,"")</f>
        <v/>
      </c>
      <c r="J130" s="5">
        <v>0.65972222222222221</v>
      </c>
      <c r="M130" s="5">
        <v>0.77430555555555558</v>
      </c>
      <c r="N130" s="13">
        <v>1</v>
      </c>
    </row>
    <row r="131" spans="1:14" x14ac:dyDescent="0.25">
      <c r="A131" s="7">
        <v>46005</v>
      </c>
      <c r="B131" s="10">
        <f t="shared" ref="B131:B194" si="11">IF(A131&lt;&gt;A130,1,B130+1)</f>
        <v>3</v>
      </c>
      <c r="C131" s="8" t="s">
        <v>14</v>
      </c>
      <c r="D131" s="11">
        <f t="shared" ref="D131:D194" si="12">IF(K131=0,M131-J131,K131-J131)*24</f>
        <v>0.41666666666666785</v>
      </c>
      <c r="E131" s="8"/>
      <c r="F131" s="11" t="str">
        <f t="shared" si="9"/>
        <v/>
      </c>
      <c r="G131" s="8" t="s">
        <v>2</v>
      </c>
      <c r="H131" s="11" t="str">
        <f t="shared" si="10"/>
        <v/>
      </c>
      <c r="J131" s="5">
        <v>0.72222222222222221</v>
      </c>
      <c r="M131" s="5">
        <v>0.73958333333333337</v>
      </c>
      <c r="N131" s="13">
        <v>1</v>
      </c>
    </row>
    <row r="132" spans="1:14" x14ac:dyDescent="0.25">
      <c r="A132" s="7">
        <v>46005</v>
      </c>
      <c r="B132" s="10">
        <f t="shared" si="11"/>
        <v>4</v>
      </c>
      <c r="C132" s="8" t="s">
        <v>15</v>
      </c>
      <c r="D132" s="11">
        <f t="shared" si="12"/>
        <v>0</v>
      </c>
      <c r="E132" s="8"/>
      <c r="F132" s="11" t="str">
        <f t="shared" si="9"/>
        <v/>
      </c>
      <c r="G132" s="8" t="s">
        <v>53</v>
      </c>
      <c r="H132" s="11" t="str">
        <f t="shared" si="10"/>
        <v/>
      </c>
      <c r="J132" s="5">
        <v>0.75</v>
      </c>
      <c r="M132" s="5">
        <v>0.75</v>
      </c>
      <c r="N132" s="13">
        <v>1</v>
      </c>
    </row>
    <row r="133" spans="1:14" x14ac:dyDescent="0.25">
      <c r="A133" s="7">
        <v>46005</v>
      </c>
      <c r="B133" s="10">
        <f t="shared" si="11"/>
        <v>5</v>
      </c>
      <c r="C133" s="8" t="s">
        <v>24</v>
      </c>
      <c r="D133" s="11">
        <f t="shared" si="12"/>
        <v>0.33333333333333481</v>
      </c>
      <c r="E133" s="8"/>
      <c r="F133" s="11" t="str">
        <f t="shared" si="9"/>
        <v/>
      </c>
      <c r="G133" s="8" t="s">
        <v>10</v>
      </c>
      <c r="H133" s="11" t="str">
        <f t="shared" si="10"/>
        <v/>
      </c>
      <c r="J133" s="5">
        <v>0.63888888888888884</v>
      </c>
      <c r="M133" s="5">
        <v>0.65277777777777779</v>
      </c>
      <c r="N133" s="13">
        <v>1</v>
      </c>
    </row>
    <row r="134" spans="1:14" x14ac:dyDescent="0.25">
      <c r="A134" s="7">
        <v>46067</v>
      </c>
      <c r="B134" s="10">
        <f t="shared" si="11"/>
        <v>1</v>
      </c>
      <c r="C134" s="8" t="s">
        <v>17</v>
      </c>
      <c r="D134" s="11">
        <f t="shared" si="12"/>
        <v>0.24999999999999911</v>
      </c>
      <c r="E134" s="8" t="s">
        <v>47</v>
      </c>
      <c r="F134" s="11">
        <f t="shared" si="9"/>
        <v>5.0833333333333313</v>
      </c>
      <c r="G134" s="8" t="s">
        <v>17</v>
      </c>
      <c r="H134" s="11">
        <f t="shared" si="10"/>
        <v>0.25000000000000178</v>
      </c>
      <c r="J134" s="5">
        <v>0.82986111111111116</v>
      </c>
      <c r="K134" s="5">
        <v>0.84027777777777779</v>
      </c>
      <c r="L134" s="5">
        <v>1.0520833333333333</v>
      </c>
      <c r="M134" s="5">
        <v>1.0625</v>
      </c>
      <c r="N134" s="13">
        <v>1</v>
      </c>
    </row>
    <row r="135" spans="1:14" x14ac:dyDescent="0.25">
      <c r="A135" s="7">
        <v>46067</v>
      </c>
      <c r="B135" s="10">
        <f t="shared" si="11"/>
        <v>2</v>
      </c>
      <c r="C135" s="8" t="s">
        <v>15</v>
      </c>
      <c r="D135" s="11">
        <f t="shared" si="12"/>
        <v>0.16666666666666607</v>
      </c>
      <c r="E135" s="8" t="s">
        <v>47</v>
      </c>
      <c r="F135" s="11">
        <f t="shared" si="9"/>
        <v>3.5833333333333339</v>
      </c>
      <c r="G135" s="8" t="s">
        <v>15</v>
      </c>
      <c r="H135" s="11">
        <f t="shared" si="10"/>
        <v>0.25000000000000178</v>
      </c>
      <c r="J135" s="5">
        <v>0.875</v>
      </c>
      <c r="K135" s="5">
        <v>0.88194444444444442</v>
      </c>
      <c r="L135" s="5">
        <v>1.03125</v>
      </c>
      <c r="M135" s="5">
        <v>1.0416666666666667</v>
      </c>
      <c r="N135" s="13">
        <v>1</v>
      </c>
    </row>
    <row r="136" spans="1:14" x14ac:dyDescent="0.25">
      <c r="A136" s="7">
        <v>46067</v>
      </c>
      <c r="B136" s="10">
        <f t="shared" si="11"/>
        <v>3</v>
      </c>
      <c r="C136" s="8" t="s">
        <v>16</v>
      </c>
      <c r="D136" s="11">
        <f t="shared" si="12"/>
        <v>0.24999999999999911</v>
      </c>
      <c r="E136" s="8" t="s">
        <v>47</v>
      </c>
      <c r="F136" s="11">
        <f t="shared" si="9"/>
        <v>2.6666666666666652</v>
      </c>
      <c r="G136" s="8" t="s">
        <v>16</v>
      </c>
      <c r="H136" s="11">
        <f t="shared" si="10"/>
        <v>0.33333333333333215</v>
      </c>
      <c r="J136" s="5">
        <v>0.89236111111111116</v>
      </c>
      <c r="K136" s="5">
        <v>0.90277777777777779</v>
      </c>
      <c r="L136" s="5">
        <v>1.0138888888888888</v>
      </c>
      <c r="M136" s="5">
        <v>1.0277777777777777</v>
      </c>
      <c r="N136" s="13">
        <v>1</v>
      </c>
    </row>
    <row r="137" spans="1:14" x14ac:dyDescent="0.25">
      <c r="A137" s="7">
        <v>46067</v>
      </c>
      <c r="B137" s="10">
        <f t="shared" si="11"/>
        <v>4</v>
      </c>
      <c r="C137" s="8" t="s">
        <v>19</v>
      </c>
      <c r="D137" s="11">
        <f t="shared" si="12"/>
        <v>0.33333333333333215</v>
      </c>
      <c r="E137" s="8" t="s">
        <v>47</v>
      </c>
      <c r="F137" s="11">
        <f t="shared" si="9"/>
        <v>0.83333333333333304</v>
      </c>
      <c r="G137" s="8" t="s">
        <v>6</v>
      </c>
      <c r="H137" s="11">
        <f t="shared" si="10"/>
        <v>8.3333333333335702E-2</v>
      </c>
      <c r="J137" s="5">
        <v>0.95833333333333337</v>
      </c>
      <c r="K137" s="5">
        <v>0.97222222222222221</v>
      </c>
      <c r="L137" s="5">
        <v>1.0069444444444444</v>
      </c>
      <c r="M137" s="5">
        <v>1.0104166666666667</v>
      </c>
      <c r="N137" s="13">
        <v>1</v>
      </c>
    </row>
    <row r="138" spans="1:14" x14ac:dyDescent="0.25">
      <c r="A138" s="7">
        <v>46067</v>
      </c>
      <c r="B138" s="10">
        <f t="shared" si="11"/>
        <v>5</v>
      </c>
      <c r="C138" s="8" t="s">
        <v>6</v>
      </c>
      <c r="D138" s="11">
        <f t="shared" si="12"/>
        <v>0.33333333333333481</v>
      </c>
      <c r="E138" s="8"/>
      <c r="F138" s="11" t="str">
        <f t="shared" si="9"/>
        <v/>
      </c>
      <c r="G138" s="8" t="s">
        <v>19</v>
      </c>
      <c r="H138" s="11" t="str">
        <f t="shared" si="10"/>
        <v/>
      </c>
      <c r="J138" s="5">
        <v>0.98263888888888884</v>
      </c>
      <c r="M138" s="5">
        <v>0.99652777777777779</v>
      </c>
      <c r="N138" s="13">
        <v>1</v>
      </c>
    </row>
    <row r="139" spans="1:14" x14ac:dyDescent="0.25">
      <c r="A139" s="7">
        <v>46068</v>
      </c>
      <c r="B139" s="10">
        <f t="shared" si="11"/>
        <v>1</v>
      </c>
      <c r="C139" s="8" t="s">
        <v>6</v>
      </c>
      <c r="D139" s="11">
        <f t="shared" si="12"/>
        <v>6.200000000000002</v>
      </c>
      <c r="E139" s="8" t="s">
        <v>47</v>
      </c>
      <c r="F139" s="11" t="str">
        <f t="shared" si="9"/>
        <v>NA</v>
      </c>
      <c r="G139" s="8" t="s">
        <v>24</v>
      </c>
      <c r="H139" s="11" t="str">
        <f t="shared" si="10"/>
        <v/>
      </c>
      <c r="J139" s="5">
        <v>0.78333333333333333</v>
      </c>
      <c r="M139" s="5">
        <v>1.0416666666666667</v>
      </c>
      <c r="N139" s="13">
        <v>1</v>
      </c>
    </row>
    <row r="140" spans="1:14" x14ac:dyDescent="0.25">
      <c r="A140" s="7">
        <v>46068</v>
      </c>
      <c r="B140" s="10">
        <f t="shared" si="11"/>
        <v>2</v>
      </c>
      <c r="C140" s="8" t="s">
        <v>58</v>
      </c>
      <c r="D140" s="11">
        <f t="shared" si="12"/>
        <v>5.5833333333333321</v>
      </c>
      <c r="E140" s="8" t="s">
        <v>47</v>
      </c>
      <c r="F140" s="11" t="str">
        <f t="shared" si="9"/>
        <v>NA</v>
      </c>
      <c r="G140" s="8" t="s">
        <v>25</v>
      </c>
      <c r="H140" s="11" t="str">
        <f t="shared" si="10"/>
        <v/>
      </c>
      <c r="J140" s="5">
        <v>0.80138888888888893</v>
      </c>
      <c r="M140" s="5">
        <v>1.0340277777777778</v>
      </c>
      <c r="N140" s="13">
        <v>1</v>
      </c>
    </row>
    <row r="141" spans="1:14" x14ac:dyDescent="0.25">
      <c r="A141" s="7">
        <v>46068</v>
      </c>
      <c r="B141" s="10">
        <f t="shared" si="11"/>
        <v>3</v>
      </c>
      <c r="C141" s="8" t="s">
        <v>15</v>
      </c>
      <c r="D141" s="11">
        <f t="shared" si="12"/>
        <v>4.3000000000000007</v>
      </c>
      <c r="E141" s="8" t="s">
        <v>47</v>
      </c>
      <c r="F141" s="11" t="str">
        <f t="shared" si="9"/>
        <v>NA</v>
      </c>
      <c r="G141" s="8" t="s">
        <v>15</v>
      </c>
      <c r="H141" s="11" t="str">
        <f t="shared" si="10"/>
        <v/>
      </c>
      <c r="J141" s="5">
        <v>0.82499999999999996</v>
      </c>
      <c r="M141" s="5">
        <v>1.0041666666666667</v>
      </c>
      <c r="N141" s="13">
        <v>1</v>
      </c>
    </row>
    <row r="142" spans="1:14" x14ac:dyDescent="0.25">
      <c r="A142" s="7">
        <v>46068</v>
      </c>
      <c r="B142" s="10">
        <f t="shared" si="11"/>
        <v>4</v>
      </c>
      <c r="C142" s="8" t="s">
        <v>16</v>
      </c>
      <c r="D142" s="11">
        <f t="shared" si="12"/>
        <v>4.2333333333333316</v>
      </c>
      <c r="E142" s="8" t="s">
        <v>47</v>
      </c>
      <c r="F142" s="11" t="str">
        <f t="shared" si="9"/>
        <v>NA</v>
      </c>
      <c r="G142" s="8" t="s">
        <v>17</v>
      </c>
      <c r="H142" s="11" t="str">
        <f t="shared" si="10"/>
        <v/>
      </c>
      <c r="J142" s="5">
        <v>0.84722222222222221</v>
      </c>
      <c r="M142" s="5">
        <v>1.023611111111111</v>
      </c>
      <c r="N142" s="13">
        <v>1</v>
      </c>
    </row>
    <row r="143" spans="1:14" x14ac:dyDescent="0.25">
      <c r="A143" s="7">
        <v>46068</v>
      </c>
      <c r="B143" s="10">
        <f t="shared" si="11"/>
        <v>5</v>
      </c>
      <c r="C143" s="8" t="s">
        <v>19</v>
      </c>
      <c r="D143" s="11">
        <f t="shared" si="12"/>
        <v>0.41666666666666785</v>
      </c>
      <c r="E143" s="8"/>
      <c r="F143" s="11" t="str">
        <f t="shared" si="9"/>
        <v/>
      </c>
      <c r="G143" s="8" t="s">
        <v>6</v>
      </c>
      <c r="H143" s="11" t="str">
        <f t="shared" si="10"/>
        <v/>
      </c>
      <c r="J143" s="5">
        <v>0.88194444444444442</v>
      </c>
      <c r="M143" s="5">
        <v>0.89930555555555558</v>
      </c>
      <c r="N143" s="13">
        <v>1</v>
      </c>
    </row>
    <row r="144" spans="1:14" x14ac:dyDescent="0.25">
      <c r="A144" s="7">
        <v>46068</v>
      </c>
      <c r="B144" s="10">
        <f t="shared" si="11"/>
        <v>6</v>
      </c>
      <c r="C144" s="8" t="s">
        <v>24</v>
      </c>
      <c r="D144" s="11">
        <f t="shared" si="12"/>
        <v>0.46666666666666767</v>
      </c>
      <c r="E144" s="8"/>
      <c r="F144" s="11" t="str">
        <f t="shared" si="9"/>
        <v/>
      </c>
      <c r="G144" s="8" t="s">
        <v>19</v>
      </c>
      <c r="H144" s="11" t="str">
        <f t="shared" si="10"/>
        <v/>
      </c>
      <c r="J144" s="5">
        <v>0.91666666666666663</v>
      </c>
      <c r="M144" s="5">
        <v>0.93611111111111112</v>
      </c>
      <c r="N144" s="13">
        <v>1</v>
      </c>
    </row>
    <row r="145" spans="1:14" x14ac:dyDescent="0.25">
      <c r="A145" s="7">
        <v>46068</v>
      </c>
      <c r="B145" s="10">
        <f t="shared" si="11"/>
        <v>7</v>
      </c>
      <c r="C145" s="8" t="s">
        <v>25</v>
      </c>
      <c r="D145" s="11">
        <f t="shared" si="12"/>
        <v>0.50000000000000089</v>
      </c>
      <c r="E145" s="8"/>
      <c r="F145" s="11" t="str">
        <f t="shared" si="9"/>
        <v/>
      </c>
      <c r="G145" s="8" t="s">
        <v>16</v>
      </c>
      <c r="H145" s="11" t="str">
        <f t="shared" si="10"/>
        <v/>
      </c>
      <c r="J145" s="5">
        <v>0.96458333333333335</v>
      </c>
      <c r="M145" s="5">
        <v>0.98541666666666672</v>
      </c>
      <c r="N145" s="13">
        <v>1</v>
      </c>
    </row>
    <row r="146" spans="1:14" x14ac:dyDescent="0.25">
      <c r="A146" s="7">
        <v>46069</v>
      </c>
      <c r="B146" s="10">
        <f t="shared" si="11"/>
        <v>1</v>
      </c>
      <c r="C146" s="8" t="s">
        <v>28</v>
      </c>
      <c r="D146" s="11">
        <f t="shared" si="12"/>
        <v>9.9999999999999645E-2</v>
      </c>
      <c r="E146" s="8" t="s">
        <v>47</v>
      </c>
      <c r="F146" s="11">
        <f t="shared" si="9"/>
        <v>9.9166666666666661</v>
      </c>
      <c r="G146" s="8" t="s">
        <v>28</v>
      </c>
      <c r="H146" s="11">
        <f t="shared" si="10"/>
        <v>9.9999999999999978E-2</v>
      </c>
      <c r="J146" s="5">
        <v>0.67291666666666672</v>
      </c>
      <c r="K146" s="5">
        <v>0.67708333333333337</v>
      </c>
      <c r="L146" s="5">
        <v>9.0277777777777776E-2</v>
      </c>
      <c r="M146" s="5">
        <v>9.4444444444444442E-2</v>
      </c>
      <c r="N146" s="13">
        <v>1</v>
      </c>
    </row>
    <row r="147" spans="1:14" x14ac:dyDescent="0.25">
      <c r="A147" s="7">
        <v>46069</v>
      </c>
      <c r="B147" s="10">
        <f t="shared" si="11"/>
        <v>2</v>
      </c>
      <c r="C147" s="8" t="s">
        <v>24</v>
      </c>
      <c r="D147" s="11">
        <f t="shared" si="12"/>
        <v>9.9999999999999645E-2</v>
      </c>
      <c r="E147" s="8" t="s">
        <v>47</v>
      </c>
      <c r="F147" s="11">
        <f t="shared" si="9"/>
        <v>10.900000000000002</v>
      </c>
      <c r="G147" s="8" t="s">
        <v>14</v>
      </c>
      <c r="H147" s="11">
        <f t="shared" si="10"/>
        <v>0.3666666666666667</v>
      </c>
      <c r="J147" s="5">
        <v>0.6875</v>
      </c>
      <c r="K147" s="5">
        <v>0.69166666666666665</v>
      </c>
      <c r="L147" s="5">
        <v>0.14583333333333334</v>
      </c>
      <c r="M147" s="5">
        <v>0.16111111111111112</v>
      </c>
      <c r="N147" s="13">
        <v>1</v>
      </c>
    </row>
    <row r="148" spans="1:14" x14ac:dyDescent="0.25">
      <c r="A148" s="7">
        <v>46069</v>
      </c>
      <c r="B148" s="10">
        <f t="shared" si="11"/>
        <v>3</v>
      </c>
      <c r="C148" s="8" t="s">
        <v>58</v>
      </c>
      <c r="D148" s="11">
        <f t="shared" si="12"/>
        <v>0.31666666666666554</v>
      </c>
      <c r="E148" s="8" t="s">
        <v>47</v>
      </c>
      <c r="F148" s="11">
        <f t="shared" si="9"/>
        <v>9.216666666666665</v>
      </c>
      <c r="G148" s="8" t="s">
        <v>17</v>
      </c>
      <c r="H148" s="11">
        <f t="shared" si="10"/>
        <v>0.48333333333333428</v>
      </c>
      <c r="J148" s="5">
        <v>0.70347222222222228</v>
      </c>
      <c r="K148" s="5">
        <v>0.71666666666666667</v>
      </c>
      <c r="L148" s="5">
        <v>1.1006944444444444</v>
      </c>
      <c r="M148" s="5">
        <v>1.1208333333333333</v>
      </c>
      <c r="N148" s="13">
        <v>1</v>
      </c>
    </row>
    <row r="149" spans="1:14" x14ac:dyDescent="0.25">
      <c r="A149" s="7">
        <v>46069</v>
      </c>
      <c r="B149" s="10">
        <f t="shared" si="11"/>
        <v>4</v>
      </c>
      <c r="C149" s="8" t="s">
        <v>25</v>
      </c>
      <c r="D149" s="11">
        <f t="shared" si="12"/>
        <v>0.11666666666666625</v>
      </c>
      <c r="E149" s="8" t="s">
        <v>47</v>
      </c>
      <c r="F149" s="11">
        <f t="shared" si="9"/>
        <v>8.25</v>
      </c>
      <c r="G149" s="8" t="s">
        <v>27</v>
      </c>
      <c r="H149" s="11">
        <f t="shared" si="10"/>
        <v>0.2333333333333325</v>
      </c>
      <c r="J149" s="5">
        <v>0.72638888888888886</v>
      </c>
      <c r="K149" s="5">
        <v>0.73124999999999996</v>
      </c>
      <c r="L149" s="5">
        <v>1.075</v>
      </c>
      <c r="M149" s="5">
        <v>1.0847222222222221</v>
      </c>
      <c r="N149" s="13">
        <v>1</v>
      </c>
    </row>
    <row r="150" spans="1:14" x14ac:dyDescent="0.25">
      <c r="A150" s="7">
        <v>46069</v>
      </c>
      <c r="B150" s="10">
        <f t="shared" si="11"/>
        <v>5</v>
      </c>
      <c r="C150" s="8" t="s">
        <v>15</v>
      </c>
      <c r="D150" s="11">
        <f t="shared" si="12"/>
        <v>0.34999999999999876</v>
      </c>
      <c r="E150" s="8"/>
      <c r="F150" s="11" t="str">
        <f t="shared" si="9"/>
        <v/>
      </c>
      <c r="G150" s="8" t="s">
        <v>25</v>
      </c>
      <c r="H150" s="11" t="str">
        <f t="shared" si="10"/>
        <v/>
      </c>
      <c r="J150" s="5">
        <v>0.74236111111111114</v>
      </c>
      <c r="K150" s="5"/>
      <c r="M150" s="5">
        <v>0.75694444444444442</v>
      </c>
      <c r="N150" s="13">
        <v>1</v>
      </c>
    </row>
    <row r="151" spans="1:14" x14ac:dyDescent="0.25">
      <c r="A151" s="7">
        <v>46069</v>
      </c>
      <c r="B151" s="10">
        <f t="shared" si="11"/>
        <v>6</v>
      </c>
      <c r="C151" s="8" t="s">
        <v>18</v>
      </c>
      <c r="D151" s="11">
        <f t="shared" si="12"/>
        <v>0.36666666666666536</v>
      </c>
      <c r="E151" s="8"/>
      <c r="F151" s="11" t="str">
        <f t="shared" si="9"/>
        <v/>
      </c>
      <c r="G151" s="8" t="s">
        <v>24</v>
      </c>
      <c r="H151" s="11" t="str">
        <f t="shared" si="10"/>
        <v/>
      </c>
      <c r="J151" s="5">
        <v>0.92708333333333337</v>
      </c>
      <c r="K151" s="5"/>
      <c r="M151" s="5">
        <v>0.94236111111111109</v>
      </c>
      <c r="N151" s="13">
        <v>1</v>
      </c>
    </row>
    <row r="152" spans="1:14" x14ac:dyDescent="0.25">
      <c r="A152" s="7">
        <v>46069</v>
      </c>
      <c r="B152" s="10">
        <f t="shared" si="11"/>
        <v>7</v>
      </c>
      <c r="C152" s="8" t="s">
        <v>27</v>
      </c>
      <c r="D152" s="11">
        <f t="shared" si="12"/>
        <v>0.3666666666666667</v>
      </c>
      <c r="E152" s="8"/>
      <c r="F152" s="11" t="str">
        <f t="shared" si="9"/>
        <v/>
      </c>
      <c r="G152" s="8" t="s">
        <v>18</v>
      </c>
      <c r="H152" s="11" t="str">
        <f t="shared" si="10"/>
        <v/>
      </c>
      <c r="J152" s="5">
        <v>3.125E-2</v>
      </c>
      <c r="M152" s="5">
        <v>4.6527777777777779E-2</v>
      </c>
      <c r="N152" s="13">
        <v>1</v>
      </c>
    </row>
    <row r="153" spans="1:14" x14ac:dyDescent="0.25">
      <c r="A153" s="7">
        <v>46069</v>
      </c>
      <c r="B153" s="10">
        <f t="shared" si="11"/>
        <v>8</v>
      </c>
      <c r="C153" s="8" t="s">
        <v>57</v>
      </c>
      <c r="D153" s="11">
        <f t="shared" si="12"/>
        <v>9.9999999999999645E-2</v>
      </c>
      <c r="E153" s="8"/>
      <c r="F153" s="11">
        <f t="shared" si="9"/>
        <v>3.4000000000000012</v>
      </c>
      <c r="G153" s="8" t="s">
        <v>15</v>
      </c>
      <c r="H153" s="11">
        <f t="shared" si="10"/>
        <v>0.29999999999999893</v>
      </c>
      <c r="J153" s="5">
        <v>0.90972222222222221</v>
      </c>
      <c r="K153" s="5">
        <v>0.91388888888888886</v>
      </c>
      <c r="L153" s="5">
        <v>1.0555555555555556</v>
      </c>
      <c r="M153" s="5">
        <v>1.0680555555555555</v>
      </c>
      <c r="N153" s="13">
        <v>1</v>
      </c>
    </row>
    <row r="154" spans="1:14" x14ac:dyDescent="0.25">
      <c r="A154" s="7">
        <v>46070</v>
      </c>
      <c r="B154" s="10">
        <f t="shared" si="11"/>
        <v>1</v>
      </c>
      <c r="C154" s="8" t="s">
        <v>14</v>
      </c>
      <c r="D154" s="11">
        <f t="shared" si="12"/>
        <v>0.41666666666666519</v>
      </c>
      <c r="E154" s="8" t="s">
        <v>47</v>
      </c>
      <c r="F154" s="11">
        <f t="shared" si="9"/>
        <v>5.916666666666667</v>
      </c>
      <c r="G154" s="8" t="s">
        <v>28</v>
      </c>
      <c r="H154" s="11">
        <f t="shared" si="10"/>
        <v>8.3333333333333037E-2</v>
      </c>
      <c r="J154" s="5">
        <v>0.70486111111111116</v>
      </c>
      <c r="K154" s="5">
        <v>0.72222222222222221</v>
      </c>
      <c r="L154" s="5">
        <v>0.96875</v>
      </c>
      <c r="M154" s="5">
        <v>0.97222222222222221</v>
      </c>
      <c r="N154" s="13">
        <v>1</v>
      </c>
    </row>
    <row r="155" spans="1:14" x14ac:dyDescent="0.25">
      <c r="A155" s="7">
        <v>46070</v>
      </c>
      <c r="B155" s="10">
        <f t="shared" si="11"/>
        <v>2</v>
      </c>
      <c r="C155" s="8" t="s">
        <v>17</v>
      </c>
      <c r="D155" s="11">
        <f t="shared" si="12"/>
        <v>0.33333333333333215</v>
      </c>
      <c r="E155" s="8" t="s">
        <v>47</v>
      </c>
      <c r="F155" s="11">
        <f t="shared" si="9"/>
        <v>4.5</v>
      </c>
      <c r="G155" s="8" t="s">
        <v>14</v>
      </c>
      <c r="H155" s="11">
        <f t="shared" si="10"/>
        <v>0.33333333333333481</v>
      </c>
      <c r="J155" s="5">
        <v>0.73958333333333337</v>
      </c>
      <c r="K155" s="5">
        <v>0.75347222222222221</v>
      </c>
      <c r="L155" s="5">
        <v>0.94097222222222221</v>
      </c>
      <c r="M155" s="5">
        <v>0.95486111111111116</v>
      </c>
      <c r="N155" s="13">
        <v>1</v>
      </c>
    </row>
    <row r="156" spans="1:14" x14ac:dyDescent="0.25">
      <c r="A156" s="7">
        <v>46070</v>
      </c>
      <c r="B156" s="10">
        <f t="shared" si="11"/>
        <v>3</v>
      </c>
      <c r="C156" s="8" t="s">
        <v>28</v>
      </c>
      <c r="D156" s="11">
        <f t="shared" si="12"/>
        <v>0.58333333333333393</v>
      </c>
      <c r="E156" s="8"/>
      <c r="F156" s="11" t="str">
        <f t="shared" si="9"/>
        <v/>
      </c>
      <c r="G156" s="8" t="s">
        <v>17</v>
      </c>
      <c r="H156" s="11" t="str">
        <f t="shared" si="10"/>
        <v/>
      </c>
      <c r="J156" s="5">
        <v>0.76388888888888884</v>
      </c>
      <c r="M156" s="5">
        <v>0.78819444444444442</v>
      </c>
      <c r="N156" s="13">
        <v>1</v>
      </c>
    </row>
    <row r="157" spans="1:14" x14ac:dyDescent="0.25">
      <c r="A157" s="7">
        <v>46070</v>
      </c>
      <c r="B157" s="10">
        <f t="shared" si="11"/>
        <v>4</v>
      </c>
      <c r="C157" s="8" t="s">
        <v>27</v>
      </c>
      <c r="D157" s="11">
        <f t="shared" si="12"/>
        <v>8.3333333333333037E-2</v>
      </c>
      <c r="E157" s="8" t="s">
        <v>47</v>
      </c>
      <c r="F157" s="11">
        <f t="shared" si="9"/>
        <v>2.7500000000000009</v>
      </c>
      <c r="G157" s="8" t="s">
        <v>27</v>
      </c>
      <c r="H157" s="11">
        <f t="shared" si="10"/>
        <v>0.16666666666666607</v>
      </c>
      <c r="J157" s="5">
        <v>0.80555555555555558</v>
      </c>
      <c r="K157" s="5">
        <v>0.80902777777777779</v>
      </c>
      <c r="L157" s="5">
        <v>0.92361111111111116</v>
      </c>
      <c r="M157" s="5">
        <v>0.93055555555555558</v>
      </c>
      <c r="N157" s="13">
        <v>1</v>
      </c>
    </row>
    <row r="158" spans="1:14" x14ac:dyDescent="0.25">
      <c r="A158" s="7">
        <v>46070</v>
      </c>
      <c r="B158" s="10">
        <f t="shared" si="11"/>
        <v>5</v>
      </c>
      <c r="C158" s="8" t="s">
        <v>20</v>
      </c>
      <c r="D158" s="11">
        <f t="shared" si="12"/>
        <v>0.33333333333333481</v>
      </c>
      <c r="E158" s="8"/>
      <c r="F158" s="11" t="str">
        <f t="shared" si="9"/>
        <v/>
      </c>
      <c r="G158" s="8" t="s">
        <v>10</v>
      </c>
      <c r="H158" s="11" t="str">
        <f t="shared" si="10"/>
        <v/>
      </c>
      <c r="J158" s="5">
        <v>0.85416666666666663</v>
      </c>
      <c r="M158" s="5">
        <v>0.86805555555555558</v>
      </c>
      <c r="N158" s="13">
        <v>1</v>
      </c>
    </row>
    <row r="159" spans="1:14" x14ac:dyDescent="0.25">
      <c r="A159" s="7">
        <v>46072</v>
      </c>
      <c r="B159" s="10">
        <f t="shared" si="11"/>
        <v>1</v>
      </c>
      <c r="C159" s="8" t="s">
        <v>28</v>
      </c>
      <c r="D159" s="11">
        <f t="shared" si="12"/>
        <v>0.24999999999999911</v>
      </c>
      <c r="E159" s="8" t="s">
        <v>47</v>
      </c>
      <c r="F159" s="11">
        <f t="shared" si="9"/>
        <v>0.66666666666666696</v>
      </c>
      <c r="G159" s="8" t="s">
        <v>10</v>
      </c>
      <c r="H159" s="11">
        <f t="shared" si="10"/>
        <v>0.16666666666666607</v>
      </c>
      <c r="J159" s="5">
        <v>0.67708333333333337</v>
      </c>
      <c r="K159" s="5">
        <v>0.6875</v>
      </c>
      <c r="L159" s="5">
        <v>0.71527777777777779</v>
      </c>
      <c r="M159" s="5">
        <v>0.72222222222222221</v>
      </c>
      <c r="N159" s="13">
        <v>1</v>
      </c>
    </row>
    <row r="160" spans="1:14" x14ac:dyDescent="0.25">
      <c r="A160" s="7">
        <v>46072</v>
      </c>
      <c r="B160" s="10">
        <f t="shared" si="11"/>
        <v>2</v>
      </c>
      <c r="C160" s="8" t="s">
        <v>20</v>
      </c>
      <c r="D160" s="11">
        <f t="shared" si="12"/>
        <v>0.16666666666666874</v>
      </c>
      <c r="E160" s="8" t="s">
        <v>47</v>
      </c>
      <c r="F160" s="11">
        <f t="shared" si="9"/>
        <v>1.6666666666666661</v>
      </c>
      <c r="G160" s="8" t="s">
        <v>28</v>
      </c>
      <c r="H160" s="11">
        <f t="shared" si="10"/>
        <v>0.16666666666666607</v>
      </c>
      <c r="J160" s="5">
        <v>0.76388888888888884</v>
      </c>
      <c r="K160" s="5">
        <v>0.77083333333333337</v>
      </c>
      <c r="L160" s="5">
        <v>0.84027777777777779</v>
      </c>
      <c r="M160" s="5">
        <v>0.84722222222222221</v>
      </c>
      <c r="N160" s="13">
        <v>1</v>
      </c>
    </row>
    <row r="161" spans="1:14" x14ac:dyDescent="0.25">
      <c r="A161" s="7">
        <v>46072</v>
      </c>
      <c r="B161" s="10">
        <f t="shared" si="11"/>
        <v>3</v>
      </c>
      <c r="C161" s="8" t="s">
        <v>27</v>
      </c>
      <c r="D161" s="11">
        <f t="shared" si="12"/>
        <v>8.3333333333333037E-2</v>
      </c>
      <c r="E161" s="8" t="s">
        <v>47</v>
      </c>
      <c r="F161" s="11">
        <f t="shared" si="9"/>
        <v>3</v>
      </c>
      <c r="G161" s="8" t="s">
        <v>27</v>
      </c>
      <c r="H161" s="11">
        <f t="shared" si="10"/>
        <v>8.3333333333335702E-2</v>
      </c>
      <c r="J161" s="5">
        <v>0.69791666666666663</v>
      </c>
      <c r="K161" s="5">
        <v>0.70138888888888884</v>
      </c>
      <c r="L161" s="5">
        <v>0.82638888888888884</v>
      </c>
      <c r="M161" s="5">
        <v>0.82986111111111116</v>
      </c>
      <c r="N161" s="13">
        <v>1</v>
      </c>
    </row>
    <row r="162" spans="1:14" x14ac:dyDescent="0.25">
      <c r="A162" s="7">
        <v>46073</v>
      </c>
      <c r="B162" s="10">
        <f t="shared" si="11"/>
        <v>1</v>
      </c>
      <c r="C162" s="8" t="s">
        <v>14</v>
      </c>
      <c r="D162" s="11">
        <f t="shared" si="12"/>
        <v>0.24999999999999911</v>
      </c>
      <c r="E162" s="8"/>
      <c r="F162" s="11" t="str">
        <f t="shared" si="9"/>
        <v/>
      </c>
      <c r="G162" s="8" t="s">
        <v>52</v>
      </c>
      <c r="H162" s="11" t="str">
        <f t="shared" si="10"/>
        <v/>
      </c>
      <c r="J162" s="5">
        <v>0.68402777777777779</v>
      </c>
      <c r="M162" s="5">
        <v>0.69444444444444442</v>
      </c>
      <c r="N162" s="13">
        <v>1</v>
      </c>
    </row>
    <row r="163" spans="1:14" x14ac:dyDescent="0.25">
      <c r="A163" s="7">
        <v>46073</v>
      </c>
      <c r="B163" s="10">
        <f t="shared" si="11"/>
        <v>2</v>
      </c>
      <c r="C163" s="8" t="s">
        <v>24</v>
      </c>
      <c r="D163" s="11">
        <f t="shared" si="12"/>
        <v>0.16666666666666607</v>
      </c>
      <c r="E163" s="8" t="s">
        <v>47</v>
      </c>
      <c r="F163" s="11">
        <f t="shared" si="9"/>
        <v>3.9166666666666661</v>
      </c>
      <c r="G163" s="8" t="s">
        <v>58</v>
      </c>
      <c r="H163" s="11">
        <f t="shared" si="10"/>
        <v>0.16666666666666874</v>
      </c>
      <c r="J163" s="5">
        <v>0.71875</v>
      </c>
      <c r="K163" s="5">
        <v>0.72569444444444442</v>
      </c>
      <c r="L163" s="5">
        <v>0.88888888888888884</v>
      </c>
      <c r="M163" s="5">
        <v>0.89583333333333337</v>
      </c>
      <c r="N163" s="13">
        <v>1</v>
      </c>
    </row>
    <row r="164" spans="1:14" x14ac:dyDescent="0.25">
      <c r="A164" s="7">
        <v>46073</v>
      </c>
      <c r="B164" s="10">
        <f t="shared" si="11"/>
        <v>3</v>
      </c>
      <c r="C164" s="8" t="s">
        <v>25</v>
      </c>
      <c r="D164" s="11">
        <f t="shared" si="12"/>
        <v>0.24999999999999911</v>
      </c>
      <c r="E164" s="8" t="s">
        <v>47</v>
      </c>
      <c r="F164" s="11">
        <f t="shared" si="9"/>
        <v>6.1666666666666661</v>
      </c>
      <c r="G164" s="8" t="s">
        <v>16</v>
      </c>
      <c r="H164" s="11">
        <f t="shared" si="10"/>
        <v>0.33333333333333215</v>
      </c>
      <c r="J164" s="5">
        <v>0.74652777777777779</v>
      </c>
      <c r="K164" s="5">
        <v>0.75694444444444442</v>
      </c>
      <c r="L164" s="5">
        <v>1.0138888888888888</v>
      </c>
      <c r="M164" s="5">
        <v>1.0277777777777777</v>
      </c>
      <c r="N164" s="13">
        <v>1</v>
      </c>
    </row>
    <row r="165" spans="1:14" x14ac:dyDescent="0.25">
      <c r="A165" s="7">
        <v>46073</v>
      </c>
      <c r="B165" s="10">
        <f t="shared" si="11"/>
        <v>4</v>
      </c>
      <c r="C165" s="8" t="s">
        <v>17</v>
      </c>
      <c r="D165" s="11">
        <f t="shared" si="12"/>
        <v>0.33333333333333215</v>
      </c>
      <c r="E165" s="8"/>
      <c r="F165" s="11" t="str">
        <f t="shared" si="9"/>
        <v/>
      </c>
      <c r="G165" s="8" t="s">
        <v>25</v>
      </c>
      <c r="H165" s="11" t="str">
        <f t="shared" si="10"/>
        <v/>
      </c>
      <c r="J165" s="5">
        <v>0.77430555555555558</v>
      </c>
      <c r="M165" s="5">
        <v>0.78819444444444442</v>
      </c>
      <c r="N165" s="13">
        <v>1</v>
      </c>
    </row>
    <row r="166" spans="1:14" x14ac:dyDescent="0.25">
      <c r="A166" s="7">
        <v>46073</v>
      </c>
      <c r="B166" s="10">
        <f t="shared" si="11"/>
        <v>5</v>
      </c>
      <c r="C166" s="8" t="s">
        <v>15</v>
      </c>
      <c r="D166" s="11">
        <f t="shared" si="12"/>
        <v>0.33333333333333215</v>
      </c>
      <c r="E166" s="8"/>
      <c r="F166" s="11" t="str">
        <f t="shared" si="9"/>
        <v/>
      </c>
      <c r="G166" s="8" t="s">
        <v>24</v>
      </c>
      <c r="H166" s="11" t="str">
        <f t="shared" si="10"/>
        <v/>
      </c>
      <c r="J166" s="5">
        <v>0.86805555555555558</v>
      </c>
      <c r="M166" s="5">
        <v>0.88194444444444442</v>
      </c>
      <c r="N166" s="13">
        <v>1</v>
      </c>
    </row>
    <row r="167" spans="1:14" x14ac:dyDescent="0.25">
      <c r="A167" s="7">
        <v>46073</v>
      </c>
      <c r="B167" s="10">
        <f t="shared" si="11"/>
        <v>6</v>
      </c>
      <c r="C167" s="8" t="s">
        <v>16</v>
      </c>
      <c r="D167" s="11">
        <f t="shared" si="12"/>
        <v>0.24999999999999911</v>
      </c>
      <c r="E167" s="8" t="s">
        <v>47</v>
      </c>
      <c r="F167" s="11">
        <f t="shared" si="9"/>
        <v>0.75</v>
      </c>
      <c r="G167" s="8" t="s">
        <v>19</v>
      </c>
      <c r="H167" s="11">
        <f t="shared" si="10"/>
        <v>0.33333333333333481</v>
      </c>
      <c r="J167" s="5">
        <v>0.94097222222222221</v>
      </c>
      <c r="K167" s="5">
        <v>0.95138888888888884</v>
      </c>
      <c r="L167" s="5">
        <v>0.98263888888888884</v>
      </c>
      <c r="M167" s="5">
        <v>0.99652777777777779</v>
      </c>
      <c r="N167" s="13">
        <v>1</v>
      </c>
    </row>
    <row r="168" spans="1:14" x14ac:dyDescent="0.25">
      <c r="A168" s="7">
        <v>46073</v>
      </c>
      <c r="B168" s="10">
        <f t="shared" si="11"/>
        <v>7</v>
      </c>
      <c r="C168" s="8" t="s">
        <v>19</v>
      </c>
      <c r="D168" s="11">
        <f t="shared" si="12"/>
        <v>0.24999999999999911</v>
      </c>
      <c r="E168" s="8" t="s">
        <v>47</v>
      </c>
      <c r="F168" s="11">
        <f t="shared" si="9"/>
        <v>1.4166666666666696</v>
      </c>
      <c r="G168" s="8" t="s">
        <v>15</v>
      </c>
      <c r="H168" s="11">
        <f t="shared" si="10"/>
        <v>0.33333333333333215</v>
      </c>
      <c r="J168" s="5">
        <v>0.96527777777777779</v>
      </c>
      <c r="K168" s="5">
        <v>0.97569444444444442</v>
      </c>
      <c r="L168" s="5">
        <v>1.0347222222222223</v>
      </c>
      <c r="M168" s="5">
        <v>1.0486111111111112</v>
      </c>
      <c r="N168" s="13">
        <v>1</v>
      </c>
    </row>
    <row r="169" spans="1:14" x14ac:dyDescent="0.25">
      <c r="A169" s="7">
        <v>46095</v>
      </c>
      <c r="B169" s="10">
        <f t="shared" si="11"/>
        <v>1</v>
      </c>
      <c r="C169" s="8" t="s">
        <v>17</v>
      </c>
      <c r="D169" s="11">
        <f t="shared" si="12"/>
        <v>0.21666666666666856</v>
      </c>
      <c r="E169" s="8" t="s">
        <v>47</v>
      </c>
      <c r="F169" s="11" t="str">
        <f t="shared" si="9"/>
        <v>NA</v>
      </c>
      <c r="G169" s="8" t="s">
        <v>17</v>
      </c>
      <c r="H169" s="11" t="str">
        <f t="shared" si="10"/>
        <v/>
      </c>
      <c r="J169" s="5">
        <v>0.85138888888888886</v>
      </c>
      <c r="K169" s="5"/>
      <c r="M169" s="5">
        <v>0.86041666666666672</v>
      </c>
      <c r="N169" s="13">
        <v>1</v>
      </c>
    </row>
    <row r="170" spans="1:14" x14ac:dyDescent="0.25">
      <c r="A170" s="7">
        <v>46095</v>
      </c>
      <c r="B170" s="10">
        <f t="shared" si="11"/>
        <v>2</v>
      </c>
      <c r="C170" s="8" t="s">
        <v>15</v>
      </c>
      <c r="D170" s="11">
        <f t="shared" si="12"/>
        <v>0.11666666666666625</v>
      </c>
      <c r="E170" s="8" t="s">
        <v>47</v>
      </c>
      <c r="F170" s="11" t="str">
        <f t="shared" si="9"/>
        <v>NA</v>
      </c>
      <c r="G170" s="8" t="s">
        <v>15</v>
      </c>
      <c r="H170" s="11" t="str">
        <f t="shared" si="10"/>
        <v/>
      </c>
      <c r="J170" s="5">
        <v>0.86458333333333337</v>
      </c>
      <c r="M170" s="5">
        <v>0.86944444444444446</v>
      </c>
      <c r="N170" s="13">
        <v>1</v>
      </c>
    </row>
    <row r="171" spans="1:14" x14ac:dyDescent="0.25">
      <c r="A171" s="7">
        <v>46095</v>
      </c>
      <c r="B171" s="10">
        <f t="shared" si="11"/>
        <v>3</v>
      </c>
      <c r="C171" s="8" t="s">
        <v>18</v>
      </c>
      <c r="D171" s="11">
        <f t="shared" si="12"/>
        <v>0.45000000000000107</v>
      </c>
      <c r="E171" s="8" t="s">
        <v>47</v>
      </c>
      <c r="F171" s="11" t="str">
        <f t="shared" si="9"/>
        <v>NA</v>
      </c>
      <c r="G171" s="8" t="s">
        <v>24</v>
      </c>
      <c r="H171" s="11" t="str">
        <f t="shared" si="10"/>
        <v/>
      </c>
      <c r="J171" s="5">
        <v>0.9375</v>
      </c>
      <c r="M171" s="5">
        <v>0.95625000000000004</v>
      </c>
      <c r="N171" s="13">
        <v>1</v>
      </c>
    </row>
    <row r="172" spans="1:14" x14ac:dyDescent="0.25">
      <c r="A172" s="7">
        <v>46095</v>
      </c>
      <c r="B172" s="10">
        <f t="shared" si="11"/>
        <v>4</v>
      </c>
      <c r="C172" s="8" t="s">
        <v>24</v>
      </c>
      <c r="D172" s="11">
        <f t="shared" si="12"/>
        <v>0.34999999999999876</v>
      </c>
      <c r="E172" s="8"/>
      <c r="F172" s="11" t="str">
        <f t="shared" si="9"/>
        <v/>
      </c>
      <c r="G172" s="8" t="s">
        <v>18</v>
      </c>
      <c r="H172" s="11" t="str">
        <f t="shared" si="10"/>
        <v/>
      </c>
      <c r="J172" s="5">
        <v>0.96666666666666667</v>
      </c>
      <c r="M172" s="5">
        <v>0.98124999999999996</v>
      </c>
      <c r="N172" s="13">
        <v>1</v>
      </c>
    </row>
    <row r="173" spans="1:14" x14ac:dyDescent="0.25">
      <c r="A173" s="7">
        <v>46096</v>
      </c>
      <c r="B173" s="10">
        <f t="shared" si="11"/>
        <v>1</v>
      </c>
      <c r="C173" s="8" t="s">
        <v>24</v>
      </c>
      <c r="D173" s="11">
        <f t="shared" si="12"/>
        <v>0.41666666666666669</v>
      </c>
      <c r="E173" s="8" t="s">
        <v>47</v>
      </c>
      <c r="F173" s="11" t="str">
        <f t="shared" si="9"/>
        <v>NA</v>
      </c>
      <c r="G173" s="8" t="s">
        <v>25</v>
      </c>
      <c r="H173" s="11" t="str">
        <f t="shared" si="10"/>
        <v/>
      </c>
      <c r="J173" s="5">
        <v>4.1666666666666664E-2</v>
      </c>
      <c r="M173" s="5">
        <v>5.9027777777777776E-2</v>
      </c>
      <c r="N173" s="13">
        <v>1</v>
      </c>
    </row>
    <row r="174" spans="1:14" x14ac:dyDescent="0.25">
      <c r="A174" s="7">
        <v>46096</v>
      </c>
      <c r="B174" s="10">
        <f t="shared" si="11"/>
        <v>2</v>
      </c>
      <c r="C174" s="8" t="s">
        <v>25</v>
      </c>
      <c r="D174" s="11">
        <f t="shared" si="12"/>
        <v>0.16666666666666874</v>
      </c>
      <c r="E174" s="8" t="s">
        <v>47</v>
      </c>
      <c r="F174" s="11" t="str">
        <f t="shared" si="9"/>
        <v>NA</v>
      </c>
      <c r="G174" s="8" t="s">
        <v>14</v>
      </c>
      <c r="H174" s="11" t="str">
        <f t="shared" si="10"/>
        <v/>
      </c>
      <c r="J174" s="5">
        <v>0.69791666666666663</v>
      </c>
      <c r="M174" s="5">
        <v>0.70486111111111116</v>
      </c>
      <c r="N174" s="13">
        <v>1</v>
      </c>
    </row>
    <row r="175" spans="1:14" x14ac:dyDescent="0.25">
      <c r="A175" s="7">
        <v>46096</v>
      </c>
      <c r="B175" s="10">
        <f t="shared" si="11"/>
        <v>3</v>
      </c>
      <c r="C175" s="8" t="s">
        <v>15</v>
      </c>
      <c r="D175" s="11">
        <f t="shared" si="12"/>
        <v>0.25000000000000011</v>
      </c>
      <c r="E175" s="8" t="s">
        <v>47</v>
      </c>
      <c r="F175" s="11" t="str">
        <f t="shared" si="9"/>
        <v>NA</v>
      </c>
      <c r="G175" s="8" t="s">
        <v>15</v>
      </c>
      <c r="H175" s="11" t="str">
        <f t="shared" si="10"/>
        <v/>
      </c>
      <c r="J175" s="5">
        <v>6.25E-2</v>
      </c>
      <c r="M175" s="5">
        <v>7.2916666666666671E-2</v>
      </c>
      <c r="N175" s="13">
        <v>1</v>
      </c>
    </row>
    <row r="176" spans="1:14" x14ac:dyDescent="0.25">
      <c r="A176" s="7">
        <v>46096</v>
      </c>
      <c r="B176" s="10">
        <f t="shared" si="11"/>
        <v>4</v>
      </c>
      <c r="C176" s="8" t="s">
        <v>18</v>
      </c>
      <c r="D176" s="11">
        <f t="shared" si="12"/>
        <v>0.33333333333333337</v>
      </c>
      <c r="E176" s="8" t="s">
        <v>47</v>
      </c>
      <c r="F176" s="11" t="str">
        <f t="shared" si="9"/>
        <v>NA</v>
      </c>
      <c r="G176" s="8" t="s">
        <v>24</v>
      </c>
      <c r="H176" s="11" t="str">
        <f t="shared" si="10"/>
        <v/>
      </c>
      <c r="J176" s="5">
        <v>2.4305555555555556E-2</v>
      </c>
      <c r="M176" s="5">
        <v>3.8194444444444448E-2</v>
      </c>
      <c r="N176" s="13">
        <v>1</v>
      </c>
    </row>
    <row r="177" spans="1:14" x14ac:dyDescent="0.25">
      <c r="A177" s="7">
        <v>46096</v>
      </c>
      <c r="B177" s="10">
        <f t="shared" si="11"/>
        <v>5</v>
      </c>
      <c r="C177" s="8" t="s">
        <v>57</v>
      </c>
      <c r="D177" s="11">
        <f t="shared" si="12"/>
        <v>0.41666666666666669</v>
      </c>
      <c r="E177" s="8"/>
      <c r="F177" s="11" t="str">
        <f t="shared" si="9"/>
        <v/>
      </c>
      <c r="G177" s="8" t="s">
        <v>17</v>
      </c>
      <c r="H177" s="11" t="str">
        <f t="shared" si="10"/>
        <v/>
      </c>
      <c r="J177" s="5">
        <v>3.472222222222222E-3</v>
      </c>
      <c r="M177" s="5">
        <v>2.0833333333333332E-2</v>
      </c>
      <c r="N177" s="13">
        <v>1</v>
      </c>
    </row>
    <row r="178" spans="1:14" x14ac:dyDescent="0.25">
      <c r="A178" s="7">
        <v>46097</v>
      </c>
      <c r="B178" s="10">
        <f t="shared" si="11"/>
        <v>1</v>
      </c>
      <c r="C178" s="8" t="s">
        <v>10</v>
      </c>
      <c r="D178" s="11">
        <f t="shared" si="12"/>
        <v>0.31666666666666554</v>
      </c>
      <c r="E178" s="8" t="s">
        <v>47</v>
      </c>
      <c r="F178" s="11">
        <f t="shared" si="9"/>
        <v>1.033333333333335</v>
      </c>
      <c r="G178" s="8" t="s">
        <v>21</v>
      </c>
      <c r="H178" s="11">
        <f t="shared" si="10"/>
        <v>0.16666666666666607</v>
      </c>
      <c r="J178" s="5">
        <v>0.67986111111111114</v>
      </c>
      <c r="K178" s="5">
        <v>0.69305555555555554</v>
      </c>
      <c r="L178" s="5">
        <v>0.73611111111111116</v>
      </c>
      <c r="M178" s="5">
        <v>0.74305555555555558</v>
      </c>
      <c r="N178" s="13">
        <v>1</v>
      </c>
    </row>
    <row r="179" spans="1:14" x14ac:dyDescent="0.25">
      <c r="A179" s="7">
        <v>46097</v>
      </c>
      <c r="B179" s="10">
        <f t="shared" si="11"/>
        <v>2</v>
      </c>
      <c r="C179" s="8" t="s">
        <v>21</v>
      </c>
      <c r="D179" s="11">
        <f t="shared" si="12"/>
        <v>0.2333333333333325</v>
      </c>
      <c r="E179" s="8"/>
      <c r="F179" s="11" t="str">
        <f t="shared" si="9"/>
        <v/>
      </c>
      <c r="G179" s="8" t="s">
        <v>10</v>
      </c>
      <c r="H179" s="11" t="str">
        <f t="shared" si="10"/>
        <v/>
      </c>
      <c r="J179" s="5">
        <v>0.71944444444444444</v>
      </c>
      <c r="M179" s="5">
        <v>0.72916666666666663</v>
      </c>
      <c r="N179" s="13">
        <v>1</v>
      </c>
    </row>
    <row r="180" spans="1:14" x14ac:dyDescent="0.25">
      <c r="A180" s="7">
        <v>46097</v>
      </c>
      <c r="B180" s="10">
        <f t="shared" si="11"/>
        <v>3</v>
      </c>
      <c r="C180" s="8" t="s">
        <v>28</v>
      </c>
      <c r="D180" s="11">
        <f t="shared" si="12"/>
        <v>9.9999999999999645E-2</v>
      </c>
      <c r="E180" s="8" t="s">
        <v>47</v>
      </c>
      <c r="F180" s="11">
        <f t="shared" si="9"/>
        <v>8.9666666666666668</v>
      </c>
      <c r="G180" s="8" t="s">
        <v>14</v>
      </c>
      <c r="H180" s="11">
        <f t="shared" si="10"/>
        <v>0.2333333333333325</v>
      </c>
      <c r="J180" s="5">
        <v>0.80277777777777781</v>
      </c>
      <c r="K180" s="5">
        <v>0.80694444444444446</v>
      </c>
      <c r="L180" s="5">
        <v>1.1805555555555556</v>
      </c>
      <c r="M180" s="5">
        <v>1.1902777777777778</v>
      </c>
      <c r="N180" s="13">
        <v>1</v>
      </c>
    </row>
    <row r="181" spans="1:14" x14ac:dyDescent="0.25">
      <c r="A181" s="7">
        <v>46097</v>
      </c>
      <c r="B181" s="10">
        <f t="shared" si="11"/>
        <v>4</v>
      </c>
      <c r="C181" s="8" t="s">
        <v>14</v>
      </c>
      <c r="D181" s="11">
        <f t="shared" si="12"/>
        <v>0.31666666666666554</v>
      </c>
      <c r="E181" s="8"/>
      <c r="F181" s="11" t="str">
        <f t="shared" si="9"/>
        <v/>
      </c>
      <c r="G181" s="8" t="s">
        <v>27</v>
      </c>
      <c r="H181" s="11" t="str">
        <f t="shared" si="10"/>
        <v/>
      </c>
      <c r="J181" s="5">
        <v>0.83611111111111114</v>
      </c>
      <c r="M181" s="5">
        <v>0.84930555555555554</v>
      </c>
      <c r="N181" s="13">
        <v>1</v>
      </c>
    </row>
    <row r="182" spans="1:14" x14ac:dyDescent="0.25">
      <c r="A182" s="7">
        <v>46097</v>
      </c>
      <c r="B182" s="10">
        <f t="shared" si="11"/>
        <v>5</v>
      </c>
      <c r="C182" s="8" t="s">
        <v>17</v>
      </c>
      <c r="D182" s="11">
        <f t="shared" si="12"/>
        <v>0.21666666666666656</v>
      </c>
      <c r="E182" s="8" t="s">
        <v>47</v>
      </c>
      <c r="F182" s="11">
        <f t="shared" si="9"/>
        <v>2.1833333333333336</v>
      </c>
      <c r="G182" s="8" t="s">
        <v>15</v>
      </c>
      <c r="H182" s="11">
        <f t="shared" si="10"/>
        <v>0.33333333333333348</v>
      </c>
      <c r="J182" s="5">
        <v>7.013888888888889E-2</v>
      </c>
      <c r="K182" s="5">
        <v>7.9166666666666663E-2</v>
      </c>
      <c r="L182" s="5">
        <v>0.1701388888888889</v>
      </c>
      <c r="M182" s="5">
        <v>0.18402777777777779</v>
      </c>
      <c r="N182" s="13">
        <v>1</v>
      </c>
    </row>
    <row r="183" spans="1:14" x14ac:dyDescent="0.25">
      <c r="A183" s="7">
        <v>46097</v>
      </c>
      <c r="B183" s="10">
        <f t="shared" si="11"/>
        <v>6</v>
      </c>
      <c r="C183" s="8" t="s">
        <v>15</v>
      </c>
      <c r="D183" s="11">
        <f t="shared" si="12"/>
        <v>0.25000000000000011</v>
      </c>
      <c r="E183" s="8" t="s">
        <v>47</v>
      </c>
      <c r="F183" s="11">
        <f t="shared" si="9"/>
        <v>1.1166666666666663</v>
      </c>
      <c r="G183" s="8" t="s">
        <v>16</v>
      </c>
      <c r="H183" s="11">
        <f t="shared" si="10"/>
        <v>0.30000000000000027</v>
      </c>
      <c r="J183" s="5">
        <v>8.6805555555555552E-2</v>
      </c>
      <c r="K183" s="5">
        <v>9.7222222222222224E-2</v>
      </c>
      <c r="L183" s="5">
        <v>0.14374999999999999</v>
      </c>
      <c r="M183" s="5">
        <v>0.15625</v>
      </c>
      <c r="N183" s="13">
        <v>1</v>
      </c>
    </row>
    <row r="184" spans="1:14" x14ac:dyDescent="0.25">
      <c r="A184" s="7">
        <v>46097</v>
      </c>
      <c r="B184" s="10">
        <f t="shared" si="11"/>
        <v>7</v>
      </c>
      <c r="C184" s="8" t="s">
        <v>27</v>
      </c>
      <c r="D184" s="11">
        <f t="shared" si="12"/>
        <v>0.4500000000000004</v>
      </c>
      <c r="E184" s="8"/>
      <c r="F184" s="11" t="str">
        <f t="shared" si="9"/>
        <v/>
      </c>
      <c r="G184" s="8" t="s">
        <v>19</v>
      </c>
      <c r="H184" s="11" t="str">
        <f t="shared" si="10"/>
        <v/>
      </c>
      <c r="J184" s="5">
        <v>0.13472222222222222</v>
      </c>
      <c r="M184" s="5">
        <v>0.15347222222222223</v>
      </c>
      <c r="N184" s="13">
        <v>1</v>
      </c>
    </row>
    <row r="185" spans="1:14" x14ac:dyDescent="0.25">
      <c r="A185" s="7">
        <v>46098</v>
      </c>
      <c r="B185" s="10">
        <f t="shared" si="11"/>
        <v>1</v>
      </c>
      <c r="C185" s="8" t="s">
        <v>10</v>
      </c>
      <c r="D185" s="11">
        <f t="shared" si="12"/>
        <v>0.16666666666666607</v>
      </c>
      <c r="E185" s="8" t="s">
        <v>47</v>
      </c>
      <c r="F185" s="11">
        <f t="shared" si="9"/>
        <v>0.75</v>
      </c>
      <c r="G185" s="8" t="s">
        <v>20</v>
      </c>
      <c r="H185" s="11">
        <f t="shared" si="10"/>
        <v>0.16666666666666607</v>
      </c>
      <c r="J185" s="5">
        <v>0.84027777777777779</v>
      </c>
      <c r="K185" s="5">
        <v>0.84722222222222221</v>
      </c>
      <c r="L185" s="5">
        <v>0.87847222222222221</v>
      </c>
      <c r="M185" s="5">
        <v>0.88541666666666663</v>
      </c>
      <c r="N185" s="13">
        <v>1</v>
      </c>
    </row>
    <row r="186" spans="1:14" x14ac:dyDescent="0.25">
      <c r="A186" s="7">
        <v>46098</v>
      </c>
      <c r="B186" s="10">
        <f t="shared" si="11"/>
        <v>2</v>
      </c>
      <c r="C186" s="8" t="s">
        <v>20</v>
      </c>
      <c r="D186" s="11">
        <f t="shared" si="12"/>
        <v>0.33333333333333481</v>
      </c>
      <c r="E186" s="8"/>
      <c r="F186" s="11" t="str">
        <f t="shared" si="9"/>
        <v/>
      </c>
      <c r="G186" s="8" t="s">
        <v>10</v>
      </c>
      <c r="H186" s="11" t="str">
        <f t="shared" si="10"/>
        <v/>
      </c>
      <c r="J186" s="5">
        <v>0.85763888888888884</v>
      </c>
      <c r="K186" s="5"/>
      <c r="M186" s="5">
        <v>0.87152777777777779</v>
      </c>
      <c r="N186" s="13">
        <v>1</v>
      </c>
    </row>
    <row r="187" spans="1:14" x14ac:dyDescent="0.25">
      <c r="A187" s="7">
        <v>46098</v>
      </c>
      <c r="B187" s="10">
        <f t="shared" si="11"/>
        <v>3</v>
      </c>
      <c r="C187" s="8" t="s">
        <v>28</v>
      </c>
      <c r="D187" s="11">
        <f t="shared" si="12"/>
        <v>8.3333333333333037E-2</v>
      </c>
      <c r="E187" s="8" t="s">
        <v>47</v>
      </c>
      <c r="F187" s="11">
        <f t="shared" si="9"/>
        <v>0.66666666666666696</v>
      </c>
      <c r="G187" s="8" t="s">
        <v>26</v>
      </c>
      <c r="H187" s="11">
        <f t="shared" si="10"/>
        <v>8.3333333333333037E-2</v>
      </c>
      <c r="J187" s="5">
        <v>0.71527777777777779</v>
      </c>
      <c r="K187" s="5">
        <v>0.71875</v>
      </c>
      <c r="L187" s="5">
        <v>0.74652777777777779</v>
      </c>
      <c r="M187" s="5">
        <v>0.75</v>
      </c>
      <c r="N187" s="13">
        <v>1</v>
      </c>
    </row>
    <row r="188" spans="1:14" x14ac:dyDescent="0.25">
      <c r="A188" s="7">
        <v>46098</v>
      </c>
      <c r="B188" s="10">
        <f t="shared" si="11"/>
        <v>4</v>
      </c>
      <c r="C188" s="8" t="s">
        <v>27</v>
      </c>
      <c r="D188" s="11">
        <f t="shared" si="12"/>
        <v>8.3333333333333037E-2</v>
      </c>
      <c r="E188" s="8" t="s">
        <v>47</v>
      </c>
      <c r="F188" s="11">
        <f t="shared" si="9"/>
        <v>1.1666666666666679</v>
      </c>
      <c r="G188" s="8" t="s">
        <v>27</v>
      </c>
      <c r="H188" s="11">
        <f t="shared" si="10"/>
        <v>8.3333333333333037E-2</v>
      </c>
      <c r="J188" s="5">
        <v>0.72569444444444442</v>
      </c>
      <c r="K188" s="5">
        <v>0.72916666666666663</v>
      </c>
      <c r="L188" s="5">
        <v>0.77777777777777779</v>
      </c>
      <c r="M188" s="5">
        <v>0.78125</v>
      </c>
      <c r="N188" s="13">
        <v>1</v>
      </c>
    </row>
    <row r="189" spans="1:14" x14ac:dyDescent="0.25">
      <c r="A189" s="7">
        <v>46098</v>
      </c>
      <c r="B189" s="10">
        <f t="shared" si="11"/>
        <v>5</v>
      </c>
      <c r="C189" s="8" t="s">
        <v>26</v>
      </c>
      <c r="D189" s="11">
        <f t="shared" si="12"/>
        <v>8.3333333333333037E-2</v>
      </c>
      <c r="E189" s="8" t="s">
        <v>47</v>
      </c>
      <c r="F189" s="11">
        <f t="shared" si="9"/>
        <v>0.66666666666666696</v>
      </c>
      <c r="G189" s="8" t="s">
        <v>28</v>
      </c>
      <c r="H189" s="11">
        <f t="shared" si="10"/>
        <v>8.3333333333333037E-2</v>
      </c>
      <c r="J189" s="5">
        <v>0.73611111111111116</v>
      </c>
      <c r="K189" s="5">
        <v>0.73958333333333337</v>
      </c>
      <c r="L189" s="5">
        <v>0.76736111111111116</v>
      </c>
      <c r="M189" s="5">
        <v>0.77083333333333337</v>
      </c>
      <c r="N189" s="13">
        <v>1</v>
      </c>
    </row>
    <row r="190" spans="1:14" x14ac:dyDescent="0.25">
      <c r="A190" s="7">
        <v>46098</v>
      </c>
      <c r="B190" s="10">
        <f t="shared" si="11"/>
        <v>6</v>
      </c>
      <c r="C190" s="8" t="s">
        <v>24</v>
      </c>
      <c r="D190" s="11">
        <f t="shared" si="12"/>
        <v>0.33333333333333348</v>
      </c>
      <c r="E190" s="8"/>
      <c r="F190" s="11" t="str">
        <f t="shared" si="9"/>
        <v/>
      </c>
      <c r="G190" s="8" t="s">
        <v>14</v>
      </c>
      <c r="H190" s="11" t="str">
        <f t="shared" si="10"/>
        <v/>
      </c>
      <c r="J190" s="5">
        <v>0.1111111111111111</v>
      </c>
      <c r="M190" s="5">
        <v>0.125</v>
      </c>
      <c r="N190" s="13">
        <v>1</v>
      </c>
    </row>
    <row r="191" spans="1:14" x14ac:dyDescent="0.25">
      <c r="A191" s="7">
        <v>46098</v>
      </c>
      <c r="B191" s="10">
        <f t="shared" si="11"/>
        <v>7</v>
      </c>
      <c r="C191" s="8" t="s">
        <v>15</v>
      </c>
      <c r="D191" s="11">
        <f t="shared" si="12"/>
        <v>0.16666666666666607</v>
      </c>
      <c r="E191" s="8" t="s">
        <v>47</v>
      </c>
      <c r="F191" s="11">
        <f t="shared" si="9"/>
        <v>1.6666666666666661</v>
      </c>
      <c r="G191" s="8" t="s">
        <v>17</v>
      </c>
      <c r="H191" s="11">
        <f t="shared" si="10"/>
        <v>0.25000000000000178</v>
      </c>
      <c r="J191" s="5">
        <v>0.98611111111111116</v>
      </c>
      <c r="K191" s="5">
        <v>0.99305555555555558</v>
      </c>
      <c r="L191" s="5">
        <v>1.0625</v>
      </c>
      <c r="M191" s="5">
        <v>1.0729166666666667</v>
      </c>
      <c r="N191" s="13">
        <v>1</v>
      </c>
    </row>
    <row r="192" spans="1:14" x14ac:dyDescent="0.25">
      <c r="A192" s="7">
        <v>46098</v>
      </c>
      <c r="B192" s="10">
        <f t="shared" si="11"/>
        <v>8</v>
      </c>
      <c r="C192" s="8" t="s">
        <v>16</v>
      </c>
      <c r="D192" s="11">
        <f t="shared" si="12"/>
        <v>0.33333333333333337</v>
      </c>
      <c r="E192" s="8" t="s">
        <v>47</v>
      </c>
      <c r="F192" s="11">
        <f t="shared" si="9"/>
        <v>2.1666666666666665</v>
      </c>
      <c r="G192" s="8" t="s">
        <v>24</v>
      </c>
      <c r="H192" s="11">
        <f t="shared" si="10"/>
        <v>8.3333333333333037E-2</v>
      </c>
      <c r="J192" s="5">
        <v>2.0833333333333332E-2</v>
      </c>
      <c r="K192" s="5">
        <v>3.4722222222222224E-2</v>
      </c>
      <c r="L192" s="5">
        <v>0.125</v>
      </c>
      <c r="M192" s="5">
        <v>0.12847222222222221</v>
      </c>
      <c r="N192" s="13">
        <v>1</v>
      </c>
    </row>
    <row r="193" spans="1:14" x14ac:dyDescent="0.25">
      <c r="A193" s="7">
        <v>46099</v>
      </c>
      <c r="B193" s="10">
        <f t="shared" si="11"/>
        <v>1</v>
      </c>
      <c r="C193" s="8" t="s">
        <v>24</v>
      </c>
      <c r="D193" s="11">
        <f t="shared" si="12"/>
        <v>0.16666666666666607</v>
      </c>
      <c r="E193" s="8" t="s">
        <v>47</v>
      </c>
      <c r="F193" s="11">
        <f t="shared" si="9"/>
        <v>1.5</v>
      </c>
      <c r="G193" s="8" t="s">
        <v>24</v>
      </c>
      <c r="H193" s="11">
        <f t="shared" si="10"/>
        <v>1.1333333333333346</v>
      </c>
      <c r="J193" s="5">
        <v>0.87152777777777779</v>
      </c>
      <c r="K193" s="5">
        <v>0.87847222222222221</v>
      </c>
      <c r="L193" s="5">
        <v>0.94097222222222221</v>
      </c>
      <c r="M193" s="5">
        <v>0.98819444444444449</v>
      </c>
      <c r="N193" s="13">
        <v>1</v>
      </c>
    </row>
    <row r="194" spans="1:14" x14ac:dyDescent="0.25">
      <c r="A194" s="7">
        <v>46099</v>
      </c>
      <c r="B194" s="10">
        <f t="shared" si="11"/>
        <v>2</v>
      </c>
      <c r="C194" s="8" t="s">
        <v>25</v>
      </c>
      <c r="D194" s="11">
        <f t="shared" si="12"/>
        <v>0.3000000000000016</v>
      </c>
      <c r="E194" s="8"/>
      <c r="F194" s="11" t="str">
        <f t="shared" ref="F194:F199" si="13">IF(K194&lt;&gt;"",IF(K194&gt;L194,(N194-K194+L194)*24,(L194-K194)*24),IF(E194="Y","NA",""))</f>
        <v/>
      </c>
      <c r="G194" s="8" t="s">
        <v>13</v>
      </c>
      <c r="H194" s="11" t="str">
        <f t="shared" ref="H194:H199" si="14">IF(K194&lt;&gt;0,(M194-L194)*24,"")</f>
        <v/>
      </c>
      <c r="J194" s="5">
        <v>0.88541666666666663</v>
      </c>
      <c r="M194" s="5">
        <v>0.8979166666666667</v>
      </c>
      <c r="N194" s="13">
        <v>1</v>
      </c>
    </row>
    <row r="195" spans="1:14" x14ac:dyDescent="0.25">
      <c r="A195" s="7">
        <v>46099</v>
      </c>
      <c r="B195" s="10">
        <f t="shared" ref="B195:B199" si="15">IF(A195&lt;&gt;A194,1,B194+1)</f>
        <v>3</v>
      </c>
      <c r="C195" s="8" t="s">
        <v>57</v>
      </c>
      <c r="D195" s="11">
        <f t="shared" ref="D195:D199" si="16">IF(K195=0,M195-J195,K195-J195)*24</f>
        <v>0.29999999999999893</v>
      </c>
      <c r="E195" s="8"/>
      <c r="F195" s="11" t="str">
        <f t="shared" si="13"/>
        <v/>
      </c>
      <c r="G195" s="8" t="s">
        <v>25</v>
      </c>
      <c r="H195" s="11" t="str">
        <f t="shared" si="14"/>
        <v/>
      </c>
      <c r="J195" s="5">
        <v>0.92361111111111116</v>
      </c>
      <c r="M195" s="5">
        <v>0.93611111111111112</v>
      </c>
      <c r="N195" s="13">
        <v>1</v>
      </c>
    </row>
    <row r="196" spans="1:14" x14ac:dyDescent="0.25">
      <c r="A196" s="7">
        <v>46099</v>
      </c>
      <c r="B196" s="10">
        <f t="shared" si="15"/>
        <v>4</v>
      </c>
      <c r="C196" s="8" t="s">
        <v>28</v>
      </c>
      <c r="D196" s="11">
        <f t="shared" si="16"/>
        <v>8.3333333333333329E-2</v>
      </c>
      <c r="E196" s="8" t="s">
        <v>47</v>
      </c>
      <c r="F196" s="11">
        <f t="shared" si="13"/>
        <v>2.416666666666667</v>
      </c>
      <c r="G196" s="8" t="s">
        <v>28</v>
      </c>
      <c r="H196" s="11">
        <f t="shared" si="14"/>
        <v>0.16666666666666674</v>
      </c>
      <c r="J196" s="5">
        <v>1.0416666666666666E-2</v>
      </c>
      <c r="K196" s="5">
        <v>1.3888888888888888E-2</v>
      </c>
      <c r="L196" s="5">
        <v>0.11458333333333333</v>
      </c>
      <c r="M196" s="5">
        <v>0.12152777777777778</v>
      </c>
      <c r="N196" s="13">
        <v>1</v>
      </c>
    </row>
    <row r="197" spans="1:14" x14ac:dyDescent="0.25">
      <c r="A197" s="7">
        <v>46099</v>
      </c>
      <c r="B197" s="10">
        <f t="shared" si="15"/>
        <v>5</v>
      </c>
      <c r="C197" s="8" t="s">
        <v>20</v>
      </c>
      <c r="D197" s="11">
        <f t="shared" si="16"/>
        <v>0.33333333333333337</v>
      </c>
      <c r="E197" s="8" t="s">
        <v>47</v>
      </c>
      <c r="F197" s="11">
        <f t="shared" si="13"/>
        <v>0.91666666666666674</v>
      </c>
      <c r="G197" s="8" t="s">
        <v>27</v>
      </c>
      <c r="H197" s="11">
        <f t="shared" si="14"/>
        <v>0.16666666666666641</v>
      </c>
      <c r="J197" s="5">
        <v>2.4305555555555556E-2</v>
      </c>
      <c r="K197" s="5">
        <v>3.8194444444444448E-2</v>
      </c>
      <c r="L197" s="5">
        <v>7.6388888888888895E-2</v>
      </c>
      <c r="M197" s="5">
        <v>8.3333333333333329E-2</v>
      </c>
      <c r="N197" s="13">
        <v>1</v>
      </c>
    </row>
    <row r="198" spans="1:14" x14ac:dyDescent="0.25">
      <c r="A198" s="7">
        <v>46099</v>
      </c>
      <c r="B198" s="10">
        <f t="shared" si="15"/>
        <v>6</v>
      </c>
      <c r="C198" s="8" t="s">
        <v>27</v>
      </c>
      <c r="D198" s="11">
        <f t="shared" si="16"/>
        <v>8.333333333333337E-2</v>
      </c>
      <c r="E198" s="8" t="s">
        <v>47</v>
      </c>
      <c r="F198" s="11">
        <f t="shared" si="13"/>
        <v>0.58333333333333326</v>
      </c>
      <c r="G198" s="8" t="s">
        <v>26</v>
      </c>
      <c r="H198" s="11">
        <f t="shared" si="14"/>
        <v>0.16666666666666674</v>
      </c>
      <c r="J198" s="5">
        <v>3.4722222222222224E-2</v>
      </c>
      <c r="K198" s="5">
        <v>3.8194444444444448E-2</v>
      </c>
      <c r="L198" s="5">
        <v>6.25E-2</v>
      </c>
      <c r="M198" s="5">
        <v>6.9444444444444448E-2</v>
      </c>
      <c r="N198" s="13">
        <v>1</v>
      </c>
    </row>
    <row r="199" spans="1:14" x14ac:dyDescent="0.25">
      <c r="A199" s="7">
        <v>46099</v>
      </c>
      <c r="B199" s="10">
        <f t="shared" si="15"/>
        <v>7</v>
      </c>
      <c r="C199" s="8" t="s">
        <v>26</v>
      </c>
      <c r="D199" s="11">
        <f t="shared" si="16"/>
        <v>8.333333333333337E-2</v>
      </c>
      <c r="E199" s="8"/>
      <c r="F199" s="11" t="str">
        <f t="shared" si="13"/>
        <v/>
      </c>
      <c r="G199" s="8" t="s">
        <v>20</v>
      </c>
      <c r="H199" s="11" t="str">
        <f t="shared" si="14"/>
        <v/>
      </c>
      <c r="J199" s="5">
        <v>4.5138888888888888E-2</v>
      </c>
      <c r="M199" s="5">
        <v>4.8611111111111112E-2</v>
      </c>
      <c r="N199" s="13">
        <v>1</v>
      </c>
    </row>
  </sheetData>
  <phoneticPr fontId="2" type="noConversion"/>
  <conditionalFormatting sqref="D1:D1048576">
    <cfRule type="expression" dxfId="5" priority="8">
      <formula>IF((E1="Y")*(H1=""),TRUE,FALSE)</formula>
    </cfRule>
  </conditionalFormatting>
  <conditionalFormatting sqref="F1:F1048576">
    <cfRule type="cellIs" dxfId="4" priority="5" operator="equal">
      <formula>"NA"</formula>
    </cfRule>
  </conditionalFormatting>
  <conditionalFormatting sqref="G1:G1048576 C1:C1048576">
    <cfRule type="containsText" dxfId="3" priority="2" operator="containsText" text="S3">
      <formula>NOT(ISERROR(SEARCH("S3",C1)))</formula>
    </cfRule>
    <cfRule type="containsText" dxfId="2" priority="3" operator="containsText" text="S2">
      <formula>NOT(ISERROR(SEARCH("S2",C1)))</formula>
    </cfRule>
    <cfRule type="containsText" dxfId="1" priority="4" operator="containsText" text="S1">
      <formula>NOT(ISERROR(SEARCH("S1",C1)))</formula>
    </cfRule>
  </conditionalFormatting>
  <conditionalFormatting sqref="G1:G1048576">
    <cfRule type="cellIs" dxfId="0" priority="1" operator="equal">
      <formula>"centerline"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59DD-DDA9-4F51-9F31-646F98317DAA}">
  <sheetPr codeName="Sheet2"/>
  <dimension ref="A1:B33"/>
  <sheetViews>
    <sheetView workbookViewId="0">
      <selection activeCell="F20" sqref="F20"/>
    </sheetView>
  </sheetViews>
  <sheetFormatPr defaultRowHeight="15" x14ac:dyDescent="0.25"/>
  <cols>
    <col min="1" max="1" width="9.140625" style="2"/>
    <col min="2" max="2" width="20.7109375" bestFit="1" customWidth="1"/>
  </cols>
  <sheetData>
    <row r="1" spans="1:2" s="3" customFormat="1" x14ac:dyDescent="0.25">
      <c r="A1" s="2" t="s">
        <v>0</v>
      </c>
      <c r="B1" s="2" t="s">
        <v>1</v>
      </c>
    </row>
    <row r="2" spans="1:2" x14ac:dyDescent="0.25">
      <c r="A2" s="2" t="s">
        <v>2</v>
      </c>
      <c r="B2" t="s">
        <v>34</v>
      </c>
    </row>
    <row r="3" spans="1:2" x14ac:dyDescent="0.25">
      <c r="A3" s="2" t="s">
        <v>3</v>
      </c>
      <c r="B3" t="s">
        <v>34</v>
      </c>
    </row>
    <row r="4" spans="1:2" x14ac:dyDescent="0.25">
      <c r="A4" s="2" t="s">
        <v>4</v>
      </c>
      <c r="B4" t="s">
        <v>34</v>
      </c>
    </row>
    <row r="5" spans="1:2" x14ac:dyDescent="0.25">
      <c r="A5" s="2" t="s">
        <v>5</v>
      </c>
      <c r="B5" t="s">
        <v>34</v>
      </c>
    </row>
    <row r="6" spans="1:2" x14ac:dyDescent="0.25">
      <c r="A6" s="2" t="s">
        <v>6</v>
      </c>
      <c r="B6" t="s">
        <v>34</v>
      </c>
    </row>
    <row r="7" spans="1:2" x14ac:dyDescent="0.25">
      <c r="A7" s="2" t="s">
        <v>7</v>
      </c>
      <c r="B7" t="s">
        <v>34</v>
      </c>
    </row>
    <row r="8" spans="1:2" x14ac:dyDescent="0.25">
      <c r="A8" s="2" t="s">
        <v>8</v>
      </c>
      <c r="B8" t="s">
        <v>34</v>
      </c>
    </row>
    <row r="9" spans="1:2" x14ac:dyDescent="0.25">
      <c r="A9" s="2" t="s">
        <v>9</v>
      </c>
      <c r="B9" t="s">
        <v>34</v>
      </c>
    </row>
    <row r="10" spans="1:2" x14ac:dyDescent="0.25">
      <c r="A10" s="2" t="s">
        <v>10</v>
      </c>
      <c r="B10" s="1" t="s">
        <v>12</v>
      </c>
    </row>
    <row r="11" spans="1:2" x14ac:dyDescent="0.25">
      <c r="A11" s="2" t="s">
        <v>11</v>
      </c>
      <c r="B11" s="1" t="s">
        <v>35</v>
      </c>
    </row>
    <row r="12" spans="1:2" x14ac:dyDescent="0.25">
      <c r="A12" s="2" t="s">
        <v>18</v>
      </c>
      <c r="B12" s="1" t="s">
        <v>37</v>
      </c>
    </row>
    <row r="13" spans="1:2" x14ac:dyDescent="0.25">
      <c r="A13" s="2" t="s">
        <v>19</v>
      </c>
      <c r="B13" s="1" t="s">
        <v>36</v>
      </c>
    </row>
    <row r="14" spans="1:2" x14ac:dyDescent="0.25">
      <c r="A14" s="2" t="s">
        <v>12</v>
      </c>
      <c r="B14" t="s">
        <v>34</v>
      </c>
    </row>
    <row r="15" spans="1:2" x14ac:dyDescent="0.25">
      <c r="A15" s="2" t="s">
        <v>13</v>
      </c>
      <c r="B15" s="1" t="s">
        <v>12</v>
      </c>
    </row>
    <row r="16" spans="1:2" x14ac:dyDescent="0.25">
      <c r="A16" s="2" t="s">
        <v>14</v>
      </c>
      <c r="B16" s="1" t="s">
        <v>35</v>
      </c>
    </row>
    <row r="17" spans="1:2" x14ac:dyDescent="0.25">
      <c r="A17" s="2" t="s">
        <v>17</v>
      </c>
      <c r="B17" s="1" t="s">
        <v>39</v>
      </c>
    </row>
    <row r="18" spans="1:2" x14ac:dyDescent="0.25">
      <c r="A18" s="2" t="s">
        <v>15</v>
      </c>
      <c r="B18" s="1" t="s">
        <v>38</v>
      </c>
    </row>
    <row r="19" spans="1:2" x14ac:dyDescent="0.25">
      <c r="A19" s="2" t="s">
        <v>16</v>
      </c>
      <c r="B19" s="1" t="s">
        <v>37</v>
      </c>
    </row>
    <row r="20" spans="1:2" x14ac:dyDescent="0.25">
      <c r="A20" s="2" t="s">
        <v>26</v>
      </c>
      <c r="B20" s="1" t="s">
        <v>40</v>
      </c>
    </row>
    <row r="21" spans="1:2" x14ac:dyDescent="0.25">
      <c r="A21" s="2" t="s">
        <v>27</v>
      </c>
      <c r="B21" s="1" t="s">
        <v>28</v>
      </c>
    </row>
    <row r="22" spans="1:2" x14ac:dyDescent="0.25">
      <c r="A22" s="2" t="s">
        <v>28</v>
      </c>
      <c r="B22" t="s">
        <v>34</v>
      </c>
    </row>
    <row r="23" spans="1:2" x14ac:dyDescent="0.25">
      <c r="A23" s="2" t="s">
        <v>20</v>
      </c>
      <c r="B23" t="s">
        <v>34</v>
      </c>
    </row>
    <row r="24" spans="1:2" x14ac:dyDescent="0.25">
      <c r="A24" s="2" t="s">
        <v>21</v>
      </c>
      <c r="B24" t="s">
        <v>34</v>
      </c>
    </row>
    <row r="25" spans="1:2" x14ac:dyDescent="0.25">
      <c r="A25" s="2" t="s">
        <v>22</v>
      </c>
      <c r="B25" s="1" t="s">
        <v>35</v>
      </c>
    </row>
    <row r="26" spans="1:2" x14ac:dyDescent="0.25">
      <c r="A26" s="2" t="s">
        <v>23</v>
      </c>
      <c r="B26" s="1" t="s">
        <v>35</v>
      </c>
    </row>
    <row r="27" spans="1:2" x14ac:dyDescent="0.25">
      <c r="A27" s="2" t="s">
        <v>24</v>
      </c>
      <c r="B27" t="s">
        <v>34</v>
      </c>
    </row>
    <row r="28" spans="1:2" x14ac:dyDescent="0.25">
      <c r="A28" s="2" t="s">
        <v>25</v>
      </c>
      <c r="B28" s="1" t="s">
        <v>24</v>
      </c>
    </row>
    <row r="29" spans="1:2" x14ac:dyDescent="0.25">
      <c r="A29" s="2" t="s">
        <v>33</v>
      </c>
      <c r="B29" t="s">
        <v>34</v>
      </c>
    </row>
    <row r="30" spans="1:2" x14ac:dyDescent="0.25">
      <c r="A30" s="2" t="s">
        <v>29</v>
      </c>
      <c r="B30" t="s">
        <v>34</v>
      </c>
    </row>
    <row r="31" spans="1:2" x14ac:dyDescent="0.25">
      <c r="A31" s="2" t="s">
        <v>30</v>
      </c>
      <c r="B31" t="s">
        <v>34</v>
      </c>
    </row>
    <row r="32" spans="1:2" x14ac:dyDescent="0.25">
      <c r="A32" s="2" t="s">
        <v>31</v>
      </c>
      <c r="B32" t="s">
        <v>34</v>
      </c>
    </row>
    <row r="33" spans="1:2" x14ac:dyDescent="0.25">
      <c r="A33" s="2" t="s">
        <v>32</v>
      </c>
      <c r="B33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 Times</vt:lpstr>
      <vt:lpstr>Centerlines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(US), Ryan J</dc:creator>
  <cp:lastModifiedBy>Johnson (US), Ryan J</cp:lastModifiedBy>
  <dcterms:created xsi:type="dcterms:W3CDTF">2026-03-31T17:19:19Z</dcterms:created>
  <dcterms:modified xsi:type="dcterms:W3CDTF">2026-04-13T17:27:09Z</dcterms:modified>
</cp:coreProperties>
</file>